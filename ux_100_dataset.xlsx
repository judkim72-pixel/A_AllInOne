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Lists" sheetId="2" state="hidden" r:id="rId2"/>
    <sheet name="PointsMap" sheetId="3" state="hidden" r:id="rId3"/>
    <sheet name="Weights" sheetId="4" r:id="rId4"/>
    <sheet name="Presets" sheetId="5" r:id="rId5"/>
    <sheet name="Summary" sheetId="6" r:id="rId6"/>
    <sheet name="Composition" sheetId="7" r:id="rId7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<sst xmlns="http://schemas.openxmlformats.org/spreadsheetml/2006/main" count="1933" uniqueCount="777">
  <si>
    <t>Company</t>
  </si>
  <si>
    <t>Website</t>
  </si>
  <si>
    <t>Corporate Form (Official)</t>
  </si>
  <si>
    <t>Founded Year</t>
  </si>
  <si>
    <t>Offices (count)</t>
  </si>
  <si>
    <t>Employees (range)</t>
  </si>
  <si>
    <t>Design Headcount Ratio (0-1)</t>
  </si>
  <si>
    <t>Engineering Headcount Ratio (0-1)</t>
  </si>
  <si>
    <t>Delivery Model</t>
  </si>
  <si>
    <t>Avg Project Ticket (band)</t>
  </si>
  <si>
    <t>ISO/IEC 27001 (Y/N)</t>
  </si>
  <si>
    <t>ISO 9001 (Y/N)</t>
  </si>
  <si>
    <t>Accessibility Program</t>
  </si>
  <si>
    <t>Privacy/AI Ethics Policy (public Y/N)</t>
  </si>
  <si>
    <t>Open Roles (Design)</t>
  </si>
  <si>
    <t>Open Roles (Data/ML/AI)</t>
  </si>
  <si>
    <t>Hiring Velocity (30d)</t>
  </si>
  <si>
    <t>AI Adoption Index (0–5)</t>
  </si>
  <si>
    <t>GenAI in Design Ops</t>
  </si>
  <si>
    <t>AI Roles Present (count)</t>
  </si>
  <si>
    <t>Model/Stack Disclosure</t>
  </si>
  <si>
    <t>Patents last 3y (count)</t>
  </si>
  <si>
    <t>OSS Contributions</t>
  </si>
  <si>
    <t>Blog Cadence</t>
  </si>
  <si>
    <t>Design System Maturity</t>
  </si>
  <si>
    <t>Analytics/Experimentation</t>
  </si>
  <si>
    <t>Security Review in SDLC</t>
  </si>
  <si>
    <t>AI_Adoption_Pts (0-30)</t>
  </si>
  <si>
    <t>ISO27001_Pts (0/8)</t>
  </si>
  <si>
    <t>Accessibility_Pts (0-6)</t>
  </si>
  <si>
    <t>SecSDLC_Pts (0-6)</t>
  </si>
  <si>
    <t>Analytics_Pts (0-5)</t>
  </si>
  <si>
    <t>Talent_AI_Roles_Pts (0-8)</t>
  </si>
  <si>
    <t>HiringVelocity_Pts (0-7)</t>
  </si>
  <si>
    <t>Delivery_DesignRatio_Pts (0-8)</t>
  </si>
  <si>
    <t>Delivery_Model_Pts (0-7)</t>
  </si>
  <si>
    <t>RnD_OSS_Pts (0-6)</t>
  </si>
  <si>
    <t>RnD_Blog_Pts (0-4)</t>
  </si>
  <si>
    <t>RnD_Patent_Pts (0-5)</t>
  </si>
  <si>
    <t>AI_Adoption_Subtotal (30)</t>
  </si>
  <si>
    <t>Ops_Quality_Subtotal (25)</t>
  </si>
  <si>
    <t>Talent_Subtotal (15)</t>
  </si>
  <si>
    <t>Delivery_Subtotal (15)</t>
  </si>
  <si>
    <t>R&amp;D_Subtotal (15)</t>
  </si>
  <si>
    <t>TOTAL_SCORE (0-100)</t>
  </si>
  <si>
    <t>Evidence_URL_AI_Adoption</t>
  </si>
  <si>
    <t>Evidence_URL_ISO/Certs</t>
  </si>
  <si>
    <t>Evidence_URL_Accessibility</t>
  </si>
  <si>
    <t>Evidence_URL_SecSDLC</t>
  </si>
  <si>
    <t>Evidence_URL_Analytics/Experimentation</t>
  </si>
  <si>
    <t>Evidence_URL_Hiring</t>
  </si>
  <si>
    <t>Evidence_URL_ModelStack</t>
  </si>
  <si>
    <t>Evidence_URL_OSS</t>
  </si>
  <si>
    <t>Evidence_URL_Blog</t>
  </si>
  <si>
    <t>Evidence_URL_DesignSystem</t>
  </si>
  <si>
    <t>Evidence_Notes</t>
  </si>
  <si>
    <t>Accenture Song</t>
  </si>
  <si>
    <t>Deloitte Digital</t>
  </si>
  <si>
    <t>IBM iX</t>
  </si>
  <si>
    <t>Publicis Sapient</t>
  </si>
  <si>
    <t>Capgemini Invent / frog</t>
  </si>
  <si>
    <t>AKQA</t>
  </si>
  <si>
    <t>R/GA</t>
  </si>
  <si>
    <t>Huge</t>
  </si>
  <si>
    <t>IDEO</t>
  </si>
  <si>
    <t>Pentagram</t>
  </si>
  <si>
    <t>EPAM</t>
  </si>
  <si>
    <t>Globant</t>
  </si>
  <si>
    <t>Valtech</t>
  </si>
  <si>
    <t>Endava</t>
  </si>
  <si>
    <t>CI&amp;T</t>
  </si>
  <si>
    <t>Thoughtworks</t>
  </si>
  <si>
    <t>Designit (Wipro)</t>
  </si>
  <si>
    <t>WONGDOODY (Infosys)</t>
  </si>
  <si>
    <t>Tata Elxsi</t>
  </si>
  <si>
    <t>Cheil Worldwide</t>
  </si>
  <si>
    <t>McKinsey Design</t>
  </si>
  <si>
    <t>BCG X (incl. Design)</t>
  </si>
  <si>
    <t>Bain &amp; Company (Digital)</t>
  </si>
  <si>
    <t>PwC Experience Center</t>
  </si>
  <si>
    <t>EY wavespace</t>
  </si>
  <si>
    <t>KPMG Experience Design</t>
  </si>
  <si>
    <t>Cognizant Digital Experience</t>
  </si>
  <si>
    <t>Infosys (Digital Experience)</t>
  </si>
  <si>
    <t>Wipro Design</t>
  </si>
  <si>
    <t>HCLTech Digital</t>
  </si>
  <si>
    <t>TCS Interactive</t>
  </si>
  <si>
    <t>NTT DATA Design (Tangity)</t>
  </si>
  <si>
    <t>Isobar (Dentsu Creative)</t>
  </si>
  <si>
    <t>VML (WPP)</t>
  </si>
  <si>
    <t>Ogilvy Experience</t>
  </si>
  <si>
    <t>Razorfish (Publicis)</t>
  </si>
  <si>
    <t>Havas CX</t>
  </si>
  <si>
    <t>Code and Theory (Stagwell)</t>
  </si>
  <si>
    <t>Critical Mass (Omnicom)</t>
  </si>
  <si>
    <t>Kin + Carta</t>
  </si>
  <si>
    <t>Tech Mahindra (Experience)</t>
  </si>
  <si>
    <t>LTIMindtree (Digital)</t>
  </si>
  <si>
    <t>CGI (Digital Experience)</t>
  </si>
  <si>
    <t>DXC Technology (Luxoft)</t>
  </si>
  <si>
    <t>Atos / Eviden (Experience)</t>
  </si>
  <si>
    <t>Fujitsu (Design)</t>
  </si>
  <si>
    <t>NEC (Design)</t>
  </si>
  <si>
    <t>Hitachi Vantara (Design)</t>
  </si>
  <si>
    <t>CGI Logica legacy (Design)</t>
  </si>
  <si>
    <t>Samsung SDS (UX)</t>
  </si>
  <si>
    <t>LG CNS (UX)</t>
  </si>
  <si>
    <t>SK C&amp;C (UX)</t>
  </si>
  <si>
    <t>NCS Group (SingTel)</t>
  </si>
  <si>
    <t>Slalom (Build)</t>
  </si>
  <si>
    <t>Avanade (Accenture + MS)</t>
  </si>
  <si>
    <t>SoftServe</t>
  </si>
  <si>
    <t>UST</t>
  </si>
  <si>
    <t>Nagarro</t>
  </si>
  <si>
    <t>Virtusa</t>
  </si>
  <si>
    <t>Zensar</t>
  </si>
  <si>
    <t>Persistent Systems</t>
  </si>
  <si>
    <t>Sopra Steria (Design)</t>
  </si>
  <si>
    <t>Capita (Experience)</t>
  </si>
  <si>
    <t>Reply (Triplesense)</t>
  </si>
  <si>
    <t>Bechtle (Digital)</t>
  </si>
  <si>
    <t>T-Systems (Design)</t>
  </si>
  <si>
    <t>Kyndryl (Design)</t>
  </si>
  <si>
    <t>HCLTech (CX Studio)</t>
  </si>
  <si>
    <t>PWC (Exp Center) Japan</t>
  </si>
  <si>
    <t>EY (Design Studio) Japan</t>
  </si>
  <si>
    <t>Work &amp; Co</t>
  </si>
  <si>
    <t>Instrument</t>
  </si>
  <si>
    <t>MetaLab</t>
  </si>
  <si>
    <t>ustwo</t>
  </si>
  <si>
    <t>Fantasy</t>
  </si>
  <si>
    <t>Clay</t>
  </si>
  <si>
    <t>Ramotion</t>
  </si>
  <si>
    <t>STRV</t>
  </si>
  <si>
    <t>DesignStudio</t>
  </si>
  <si>
    <t>Moving Brands</t>
  </si>
  <si>
    <t>COLLINS</t>
  </si>
  <si>
    <t>Wolff Olins</t>
  </si>
  <si>
    <t>Landor (Landor &amp; Fitch)</t>
  </si>
  <si>
    <t>Saffron</t>
  </si>
  <si>
    <t>Superunion</t>
  </si>
  <si>
    <t>Koto</t>
  </si>
  <si>
    <t>Ragged Edge</t>
  </si>
  <si>
    <t>Mucho</t>
  </si>
  <si>
    <t>EightShapes</t>
  </si>
  <si>
    <t>ZURB</t>
  </si>
  <si>
    <t>IDEO Tokyo</t>
  </si>
  <si>
    <t>Doberman (EY)</t>
  </si>
  <si>
    <t>Frog (legacy independent)</t>
  </si>
  <si>
    <t>BCG Digital Ventures (legacy)</t>
  </si>
  <si>
    <t>PALO IT</t>
  </si>
  <si>
    <t>Netguru</t>
  </si>
  <si>
    <t>ELEKS</t>
  </si>
  <si>
    <t>Andersen</t>
  </si>
  <si>
    <t>BairesDev</t>
  </si>
  <si>
    <t>Thoughtbot</t>
  </si>
  <si>
    <t>https://www.accenture.com/</t>
  </si>
  <si>
    <t>https://www.deloittedigital.com/</t>
  </si>
  <si>
    <t>https://www.ibm.com/consulting/ibmix</t>
  </si>
  <si>
    <t>https://www.publicissapient.com/</t>
  </si>
  <si>
    <t>https://www.frog.co/</t>
  </si>
  <si>
    <t>https://www.akqa.com/</t>
  </si>
  <si>
    <t>https://rga.com/</t>
  </si>
  <si>
    <t>https://www.hugeinc.com/</t>
  </si>
  <si>
    <t>https://www.ideo.com/</t>
  </si>
  <si>
    <t>https://www.pentagram.com/</t>
  </si>
  <si>
    <t>https://www.epam.com/</t>
  </si>
  <si>
    <t>https://www.globant.com/</t>
  </si>
  <si>
    <t>https://www.valtech.com/</t>
  </si>
  <si>
    <t>https://www.endava.com/</t>
  </si>
  <si>
    <t>https://www.ciandt.com/</t>
  </si>
  <si>
    <t>https://www.thoughtworks.com/</t>
  </si>
  <si>
    <t>https://www.designit.com/</t>
  </si>
  <si>
    <t>https://www.wongdoody.com/</t>
  </si>
  <si>
    <t>https://www.tataelxsi.com/</t>
  </si>
  <si>
    <t>https://www.cheil.com/</t>
  </si>
  <si>
    <t>https://www.mckinsey.com/capabilities/design</t>
  </si>
  <si>
    <t>https://www.bcg.com/x</t>
  </si>
  <si>
    <t>https://www.bain.com/consulting/digital/</t>
  </si>
  <si>
    <t>https://www.pwc.com/</t>
  </si>
  <si>
    <t>https://www.ey.com/</t>
  </si>
  <si>
    <t>https://kpmg.com/</t>
  </si>
  <si>
    <t>https://www.cognizant.com/</t>
  </si>
  <si>
    <t>https://www.infosys.com/</t>
  </si>
  <si>
    <t>https://www.wipro.com/</t>
  </si>
  <si>
    <t>https://www.hcltech.com/</t>
  </si>
  <si>
    <t>https://www.tcs.com/what-we-do/services/interactive</t>
  </si>
  <si>
    <t>https://www.tangity.design/</t>
  </si>
  <si>
    <t>https://www.dentsu.com/</t>
  </si>
  <si>
    <t>https://www.vml.com/</t>
  </si>
  <si>
    <t>https://www.ogilvy.com/</t>
  </si>
  <si>
    <t>https://www.razorfish.com/</t>
  </si>
  <si>
    <t>https://www.havascx.com/</t>
  </si>
  <si>
    <t>https://www.codeandtheory.com/</t>
  </si>
  <si>
    <t>https://www.criticalmass.com/</t>
  </si>
  <si>
    <t>https://www.kinandcarta.com/</t>
  </si>
  <si>
    <t>https://www.techmahindra.com/</t>
  </si>
  <si>
    <t>https://www.ltimindtree.com/</t>
  </si>
  <si>
    <t>https://www.cgi.com/</t>
  </si>
  <si>
    <t>https://www.luxoft.com/</t>
  </si>
  <si>
    <t>https://eviden.com/</t>
  </si>
  <si>
    <t>https://www.fujitsu.com/</t>
  </si>
  <si>
    <t>https://www.nec.com/</t>
  </si>
  <si>
    <t>https://www.hitachivantara.com/</t>
  </si>
  <si>
    <t>https://www.samsungsds.com/</t>
  </si>
  <si>
    <t>https://www.lgcns.com/</t>
  </si>
  <si>
    <t>https://www.skcc.com/</t>
  </si>
  <si>
    <t>https://www.ncs.co/</t>
  </si>
  <si>
    <t>https://www.slalom.com/</t>
  </si>
  <si>
    <t>https://www.avanade.com/</t>
  </si>
  <si>
    <t>https://www.softserveinc.com/</t>
  </si>
  <si>
    <t>https://www.ust.com/</t>
  </si>
  <si>
    <t>https://www.nagarro.com/</t>
  </si>
  <si>
    <t>https://www.virtusa.com/</t>
  </si>
  <si>
    <t>https://www.zensar.com/</t>
  </si>
  <si>
    <t>https://www.persistent.com/</t>
  </si>
  <si>
    <t>https://www.soprasteria.com/</t>
  </si>
  <si>
    <t>https://www.capita.com/</t>
  </si>
  <si>
    <t>https://www.reply.com/</t>
  </si>
  <si>
    <t>https://www.bechtle.com/</t>
  </si>
  <si>
    <t>https://www.t-systems.com/</t>
  </si>
  <si>
    <t>https://www.kyndryl.com/</t>
  </si>
  <si>
    <t>https://www.pwc.com/jp/en.html</t>
  </si>
  <si>
    <t>https://www.ey.com/ja_jp</t>
  </si>
  <si>
    <t>https://work.co/</t>
  </si>
  <si>
    <t>https://www.instrument.com/</t>
  </si>
  <si>
    <t>https://metalab.com/</t>
  </si>
  <si>
    <t>https://ustwo.com/</t>
  </si>
  <si>
    <t>https://fantasy.co/</t>
  </si>
  <si>
    <t>https://clay.global/</t>
  </si>
  <si>
    <t>https://www.ramotion.com/</t>
  </si>
  <si>
    <t>https://www.strv.com/</t>
  </si>
  <si>
    <t>https://design.studio/</t>
  </si>
  <si>
    <t>https://www.movingbrands.com/</t>
  </si>
  <si>
    <t>https://www.wearecollins.com/</t>
  </si>
  <si>
    <t>https://www.wolffolins.com/</t>
  </si>
  <si>
    <t>https://landor.com/</t>
  </si>
  <si>
    <t>https://saffron-consultants.com/</t>
  </si>
  <si>
    <t>https://www.superunion.com/</t>
  </si>
  <si>
    <t>https://koto.studio/</t>
  </si>
  <si>
    <t>https://raggededge.com/</t>
  </si>
  <si>
    <t>https://www.mucho.co/</t>
  </si>
  <si>
    <t>https://www.eightshapes.com/</t>
  </si>
  <si>
    <t>https://zurb.com/</t>
  </si>
  <si>
    <t>https://www.doberman.co/</t>
  </si>
  <si>
    <t>https://www.bcgdv.com/</t>
  </si>
  <si>
    <t>https://www.palo-it.com/</t>
  </si>
  <si>
    <t>https://www.netguru.com/</t>
  </si>
  <si>
    <t>https://eleks.com/</t>
  </si>
  <si>
    <t>https://andersenlab.com/</t>
  </si>
  <si>
    <t>https://www.bairesdev.com/</t>
  </si>
  <si>
    <t>https://thoughtbot.com/</t>
  </si>
  <si>
    <t>Business unit of public company</t>
  </si>
  <si>
    <t>Multinational network of independent member firms</t>
  </si>
  <si>
    <t>Subsidiary brand of public holding company</t>
  </si>
  <si>
    <t>Private company</t>
  </si>
  <si>
    <t>Independent studio (partnership or LLP)</t>
  </si>
  <si>
    <t>Public company</t>
  </si>
  <si>
    <t>Business unit of private partnership</t>
  </si>
  <si>
    <t>Subsidiary brand of private holding company</t>
  </si>
  <si>
    <t>Subsidiary of public company</t>
  </si>
  <si>
    <t>Subsidiary of private partnership</t>
  </si>
  <si>
    <t>&gt;20k</t>
  </si>
  <si>
    <t>5k–20k</t>
  </si>
  <si>
    <t>1–5k</t>
  </si>
  <si>
    <t>500–1k</t>
  </si>
  <si>
    <t>100–499</t>
  </si>
  <si>
    <t>20k+</t>
  </si>
  <si>
    <t>&lt;100</t>
  </si>
  <si>
    <t>Distributed nearshore/offshore</t>
  </si>
  <si>
    <t>Hybrid</t>
  </si>
  <si>
    <t>Onsite</t>
  </si>
  <si>
    <t>Remote-first</t>
  </si>
  <si>
    <t>&gt;$5M</t>
  </si>
  <si>
    <t>$1M–$5M</t>
  </si>
  <si>
    <t>$250k–$1M</t>
  </si>
  <si>
    <t>Y</t>
  </si>
  <si>
    <t>N</t>
  </si>
  <si>
    <t>WCAG AA</t>
  </si>
  <si>
    <t>Guidelines only</t>
  </si>
  <si>
    <t>High (10+)</t>
  </si>
  <si>
    <t>Mid (4–9)</t>
  </si>
  <si>
    <t>Low (1–3)</t>
  </si>
  <si>
    <t>None</t>
  </si>
  <si>
    <t>3</t>
  </si>
  <si>
    <t>2</t>
  </si>
  <si>
    <t>1</t>
  </si>
  <si>
    <t>Component generation</t>
  </si>
  <si>
    <t>E2E prototyping</t>
  </si>
  <si>
    <t>Copy/Localization</t>
  </si>
  <si>
    <t>Asset generation</t>
  </si>
  <si>
    <t>Commercial LLM</t>
  </si>
  <si>
    <t>Commercial + in-house RAG</t>
  </si>
  <si>
    <t>Proprietary model / Hybrid</t>
  </si>
  <si>
    <t>Not disclosed</t>
  </si>
  <si>
    <t>Contributor</t>
  </si>
  <si>
    <t>Maintainer</t>
  </si>
  <si>
    <t>Monthly+</t>
  </si>
  <si>
    <t>Quarterly</t>
  </si>
  <si>
    <t>Tokens/Multi-brand</t>
  </si>
  <si>
    <t>CI/CD integrated</t>
  </si>
  <si>
    <t>Guidelines</t>
  </si>
  <si>
    <t>A/B testing</t>
  </si>
  <si>
    <t>Continuous experimentation</t>
  </si>
  <si>
    <t>Event tracking</t>
  </si>
  <si>
    <t>SAST+DAST</t>
  </si>
  <si>
    <t>DevSecOps integrated</t>
  </si>
  <si>
    <t>Lint/Static analysis</t>
  </si>
  <si>
    <t>https://www.deloitte.com/us/en/what-we-do/capabilities/applied-artificial-intelligence/services/ethics-of-ai-framework.html</t>
  </si>
  <si>
    <t>https://ibmix.de/en/services/ai-data-transformation</t>
  </si>
  <si>
    <t>https://careers.publicissapient.com/life-at-ps/blog/the-place-for-engineering-and-tech-trailblazers</t>
  </si>
  <si>
    <t>https://www.frog.co/capabilities</t>
  </si>
  <si>
    <t>https://www.akqa.com/work/here/simply-here/</t>
  </si>
  <si>
    <t>https://www.ideo.com/inclusion</t>
  </si>
  <si>
    <t>https://www.epam.com/services/artificial-intelligence</t>
  </si>
  <si>
    <t>https://www.globant.com/studio/ai</t>
  </si>
  <si>
    <t>https://www.valtech.com/insights/topic/ai/</t>
  </si>
  <si>
    <t>https://www.endava.com/capabilities/ai-automation</t>
  </si>
  <si>
    <t>https://ciandt.com/us/en-us/ai</t>
  </si>
  <si>
    <t>https://www.thoughtworks.com/en-us/what-we-do/artificial-intelligence</t>
  </si>
  <si>
    <t>https://www.mckinsey.com/capabilities/quantumblack/overview</t>
  </si>
  <si>
    <t>https://www.bain.com/consulting/enterprise-technology/advanced-analytics/</t>
  </si>
  <si>
    <t>https://www.pwc.com/gx/en/issues/analytics/artificial-intelligence.html</t>
  </si>
  <si>
    <t>https://www.ey.com/en_gl/alliances/ai</t>
  </si>
  <si>
    <t>https://kpmg.com/xx/en/home/services/technology/artificial-intelligence.html</t>
  </si>
  <si>
    <t>https://www.cognizant.com/us/en/services/ai</t>
  </si>
  <si>
    <t>https://www.infosys.com/services/data-analytics/offerings/generative-ai.html</t>
  </si>
  <si>
    <t>https://www.wipro.com/ai/</t>
  </si>
  <si>
    <t>https://www.hcltech.com/ai</t>
  </si>
  <si>
    <t>https://www.tcs.com/what-we-do/services/ai-cloud</t>
  </si>
  <si>
    <t>https://www.nttdata.com/global/en/offerings/advisory/ai</t>
  </si>
  <si>
    <t>https://www.dentsu.com/services/creative</t>
  </si>
  <si>
    <t>https://www.vml.com/services/technology</t>
  </si>
  <si>
    <t>https://www.ogilvy.com/capabilities/consulting</t>
  </si>
  <si>
    <t>https://www.razorfish.com/capabilities/technology</t>
  </si>
  <si>
    <t>https://www.havas.com/our-capabilities</t>
  </si>
  <si>
    <t>https://www.codeandtheory.com/expertise/technology</t>
  </si>
  <si>
    <t>https://www.criticalmass.com/capabilities/technology</t>
  </si>
  <si>
    <t>https://www.kinandcarta.com/en-us/expertise/ai/</t>
  </si>
  <si>
    <t>https://www.techmahindra.com/en-in/services/artificial-intelligence/</t>
  </si>
  <si>
    <t>https://www.ltimindtree.com/ai/</t>
  </si>
  <si>
    <t>https://www.cgi.com/en/services/ai</t>
  </si>
  <si>
    <t>https://www.luxoft.com/services/ai</t>
  </si>
  <si>
    <t>https://eviden.com/services/data-ai/</t>
  </si>
  <si>
    <t>https://www.fujitsu.com/global/solutions/business-technology/artificial-intelligence/</t>
  </si>
  <si>
    <t>https://www.nec.com/en/global/solutions/ai/</t>
  </si>
  <si>
    <t>https://www.hitachivantara.com/en-us/services/ai.html</t>
  </si>
  <si>
    <t>https://www.samsungsds.com/global/en/solutions/ai/ai.html</t>
  </si>
  <si>
    <t>https://www.lgcns.com/solution/ai</t>
  </si>
  <si>
    <t>https://www.skcc.com/eng/business/ai</t>
  </si>
  <si>
    <t>https://www.ncs.co/en/solutions/data-analytics-and-ai/</t>
  </si>
  <si>
    <t>https://www.slalom.com/ai</t>
  </si>
  <si>
    <t>https://www.avanade.com/en/services/data-ai</t>
  </si>
  <si>
    <t>https://www.softserveinc.com/en-us/services/ai</t>
  </si>
  <si>
    <t>https://www.ust.com/ai</t>
  </si>
  <si>
    <t>https://www.nagarro.com/en/services/ai</t>
  </si>
  <si>
    <t>https://www.virtusa.com/services/data-and-analytics/ai-and-ml</t>
  </si>
  <si>
    <t>https://www.zensar.com/services/ai-and-automation</t>
  </si>
  <si>
    <t>https://www.persistent.com/services/ai-and-data/</t>
  </si>
  <si>
    <t>https://www.soprasteria.com/our-offer/artificial-intelligence</t>
  </si>
  <si>
    <t>https://www.capita.com/our-services/digital-transformation</t>
  </si>
  <si>
    <t>https://www.reply.com/artificial-intelligence</t>
  </si>
  <si>
    <t>https://www.bechtle.com/de-en/solutions/digitalisation/ai</t>
  </si>
  <si>
    <t>https://www.t-systems.com/resource/blob/</t>
  </si>
  <si>
    <t>https://www.kyndryl.com/us/en/services/advisory-and-implementation/data-and-ai</t>
  </si>
  <si>
    <t>https://www.pwc.com/jp/en/services/consulting/analytics-ai.html</t>
  </si>
  <si>
    <t>https://www.ey.com/ja_jp/alliances/ai</t>
  </si>
  <si>
    <t>https://work.co/capabilities/technology/</t>
  </si>
  <si>
    <t>https://www.instrument.com/services/technology</t>
  </si>
  <si>
    <t>https://metalab.com/services/product-design/</t>
  </si>
  <si>
    <t>https://ustwo.com/services</t>
  </si>
  <si>
    <t>https://fantasy.co/capabilities</t>
  </si>
  <si>
    <t>https://clay.global/services</t>
  </si>
  <si>
    <t>https://www.ramotion.com/services/</t>
  </si>
  <si>
    <t>https://www.strv.com/services</t>
  </si>
  <si>
    <t>https://design.studio/work</t>
  </si>
  <si>
    <t>https://www.movingbrands.com/what-we-do</t>
  </si>
  <si>
    <t>https://www.wearecollins.com/work/</t>
  </si>
  <si>
    <t>https://www.wolffolins.com/services/</t>
  </si>
  <si>
    <t>https://landor.com/our-services</t>
  </si>
  <si>
    <t>https://saffron-consultants.com/expertise/</t>
  </si>
  <si>
    <t>https://www.superunion.com/work</t>
  </si>
  <si>
    <t>https://koto.studio/work/</t>
  </si>
  <si>
    <t>https://raggededge.com/work/</t>
  </si>
  <si>
    <t>https://www.mucho.co/projects</t>
  </si>
  <si>
    <t>https://www.eightshapes.com/services/</t>
  </si>
  <si>
    <t>https://zurb.com/services</t>
  </si>
  <si>
    <t>https://www.doberman.co/work</t>
  </si>
  <si>
    <t>https://www.palo-it.com/services</t>
  </si>
  <si>
    <t>https://www.netguru.com/services/artificial-intelligence</t>
  </si>
  <si>
    <t>https://eleks.com/services/data-science/</t>
  </si>
  <si>
    <t>https://andersenlab.com/services/machine-learning-ai</t>
  </si>
  <si>
    <t>https://www.bairesdev.com/services/ai/</t>
  </si>
  <si>
    <t>https://thoughtbot.com/services</t>
  </si>
  <si>
    <t>https://www.cognizant.com/us/en/about-cognizant/trust-center</t>
  </si>
  <si>
    <t>https://www.infosys.com/trust-center/information-security.html</t>
  </si>
  <si>
    <t>https://www.wipro.com/service-nets/information-security/</t>
  </si>
  <si>
    <t>https://www.tcs.com/who-we-are/security-trust</t>
  </si>
  <si>
    <t>https://www.kinandcarta.com/en-us/about/our-policies/</t>
  </si>
  <si>
    <t>https://www.techmahindra.com/en-in/who-we-are/esg/information-security/</t>
  </si>
  <si>
    <t>https://www.ltimindtree.com/corporate-governance/information-security/</t>
  </si>
  <si>
    <t>https://www.cgi.com/en/quality-and-security</t>
  </si>
  <si>
    <t>https://www.luxoft.com/company/information-security</t>
  </si>
  <si>
    <t>https://eviden.com/about-us/security-and-compliance/</t>
  </si>
  <si>
    <t>https://www.fujitsu.com/global/about/corporate/security/</t>
  </si>
  <si>
    <t>https://www.nec.com/en/global/csr/management/security/index.html</t>
  </si>
  <si>
    <t>https://www.hitachivantara.com/en-us/company/trust-center.html</t>
  </si>
  <si>
    <t>https://www.samsungsds.com/global/en/support/trust/trust.html</t>
  </si>
  <si>
    <t>https://www.lgcns.com/company/esg/security</t>
  </si>
  <si>
    <t>https://www.skcc.com/company/sustainability/infosec</t>
  </si>
  <si>
    <t>https://www.ncs.co/en/about-us/trust/</t>
  </si>
  <si>
    <t>https://www.avanade.com/en/about-avanade/trust-center</t>
  </si>
  <si>
    <t>https://www.softserveinc.com/en-us/about/security</t>
  </si>
  <si>
    <t>https://www.nagarro.com/en/about/quality-information-security</t>
  </si>
  <si>
    <t>https://www.virtusa.com/company/trust-center</t>
  </si>
  <si>
    <t>https://www.zensar.com/company/corporate-governance/policies</t>
  </si>
  <si>
    <t>https://www.persistent.com/about/trust-center/</t>
  </si>
  <si>
    <t>https://www.soprasteria.com/about-us/governance-and-policies</t>
  </si>
  <si>
    <t>https://www.capita.com/our-company/governance/risk-and-compliance</t>
  </si>
  <si>
    <t>https://www.t-systems.com/de/en/about-the-company/compliance</t>
  </si>
  <si>
    <t>https://www.kyndryl.com/us/en/about-us/trust-center</t>
  </si>
  <si>
    <t>https://www.deloitte.com/global/en/legal/accessibility-statement.html</t>
  </si>
  <si>
    <t>https://www.akqa.com/careers/what-we-look-for/</t>
  </si>
  <si>
    <t>https://www.ideo.com/journal/inside-our-effort-to-make-design-careers-more-accessible</t>
  </si>
  <si>
    <t>https://www.ibm.com/support/pages/ibm-global-business-unit-iso-27001-certifications</t>
  </si>
  <si>
    <t>https://www.epam.com/about/social-responsibility/information-security</t>
  </si>
  <si>
    <t>https://www.globant.com/sustainability/information-security</t>
  </si>
  <si>
    <t>https://www.valtech.com/about/information-security/</t>
  </si>
  <si>
    <t>https://www.endava.com/about/security</t>
  </si>
  <si>
    <t>https://ciandt.com/us/en-us/lp/security-and-privacy</t>
  </si>
  <si>
    <t>https://www.thoughtworks.com/en-us/what-we-do/secure-by-design</t>
  </si>
  <si>
    <t>https://www.infosys.com/services/cyber-security</t>
  </si>
  <si>
    <t>https://apply.deloitte.com/</t>
  </si>
  <si>
    <t>https://www.ibm.com/careers</t>
  </si>
  <si>
    <t>https://careers.publicissapient.com/</t>
  </si>
  <si>
    <t>https://www.frog.co/careers</t>
  </si>
  <si>
    <t>https://www.akqa.com/careers/</t>
  </si>
  <si>
    <t>https://rga.com/careers</t>
  </si>
  <si>
    <t>https://www.hugeinc.com/careers/</t>
  </si>
  <si>
    <t>https://www.ideo.com/careers</t>
  </si>
  <si>
    <t>https://www.pentagram.com/about</t>
  </si>
  <si>
    <t>https://www.epam.com/careers</t>
  </si>
  <si>
    <t>https://www.globant.com/careers</t>
  </si>
  <si>
    <t>https://www.valtech.com/careers/</t>
  </si>
  <si>
    <t>https://www.endava.com/careers</t>
  </si>
  <si>
    <t>https://ciandt.com/us/en-us/careers</t>
  </si>
  <si>
    <t>https://www.thoughtworks.com/en-us/careers</t>
  </si>
  <si>
    <t>https://www.mckinsey.com/careers</t>
  </si>
  <si>
    <t>https://www.bcg.com/careers</t>
  </si>
  <si>
    <t>https://www.bain.com/careers/</t>
  </si>
  <si>
    <t>https://www.pwc.com/careers</t>
  </si>
  <si>
    <t>https://www.ey.com/en_gl/careers</t>
  </si>
  <si>
    <t>https://kpmg.com/careers</t>
  </si>
  <si>
    <t>https://careers.cognizant.com/</t>
  </si>
  <si>
    <t>https://www.infosys.com/careers/apply.html</t>
  </si>
  <si>
    <t>https://careers.wipro.com/</t>
  </si>
  <si>
    <t>https://www.hcltech.com/careers</t>
  </si>
  <si>
    <t>https://www.tcs.com/careers</t>
  </si>
  <si>
    <t>https://www.nttdata.com/global/en/careers</t>
  </si>
  <si>
    <t>https://www.dentsu.com/careers</t>
  </si>
  <si>
    <t>https://www.vml.com/careers</t>
  </si>
  <si>
    <t>https://www.ogilvy.com/careers</t>
  </si>
  <si>
    <t>https://www.razorfish.com/careers</t>
  </si>
  <si>
    <t>https://www.havas.com/careers</t>
  </si>
  <si>
    <t>https://www.codeandtheory.com/careers</t>
  </si>
  <si>
    <t>https://www.criticalmass.com/careers</t>
  </si>
  <si>
    <t>https://www.kinandcarta.com/en-us/careers/</t>
  </si>
  <si>
    <t>https://careers.techmahindra.com/</t>
  </si>
  <si>
    <t>https://www.ltimindtree.com/careers/</t>
  </si>
  <si>
    <t>https://www.cgi.com/en/careers</t>
  </si>
  <si>
    <t>https://career.luxoft.com/</t>
  </si>
  <si>
    <t>https://eviden.com/careers/</t>
  </si>
  <si>
    <t>https://www.fujitsu.com/global/about/careers/</t>
  </si>
  <si>
    <t>https://www.nec.com/en/global/careers/index.html</t>
  </si>
  <si>
    <t>https://www.hitachivantara.com/en-us/company/careers.html</t>
  </si>
  <si>
    <t>https://www.samsungsds.com/global/en/careers/careers_overview.html</t>
  </si>
  <si>
    <t>https://www.lgcns.com/career/recruit</t>
  </si>
  <si>
    <t>https://www.skcc.com/careers</t>
  </si>
  <si>
    <t>https://www.ncs.co/en/careers/</t>
  </si>
  <si>
    <t>https://www.slalom.com/careers</t>
  </si>
  <si>
    <t>https://careers.avanade.com/</t>
  </si>
  <si>
    <t>https://career.softserveinc.com/en-us/vacancies</t>
  </si>
  <si>
    <t>https://www.ust.com/careers</t>
  </si>
  <si>
    <t>https://www.nagarro.com/en/careers</t>
  </si>
  <si>
    <t>https://www.virtusa.com/careers</t>
  </si>
  <si>
    <t>https://www.zensar.com/careers</t>
  </si>
  <si>
    <t>https://www.persistent.com/careers/</t>
  </si>
  <si>
    <t>https://www.soprasteria.com/careers</t>
  </si>
  <si>
    <t>https://www.capita.com/careers</t>
  </si>
  <si>
    <t>https://www.reply.com/en/careers</t>
  </si>
  <si>
    <t>https://www.bechtle.com/de-en/career</t>
  </si>
  <si>
    <t>https://www.t-systems.com/de/en/careers</t>
  </si>
  <si>
    <t>https://www.kyndryl.com/us/en/careers</t>
  </si>
  <si>
    <t>https://www.pwc.com/jp/en/careers.html</t>
  </si>
  <si>
    <t>https://www.ey.com/ja_jp/careers</t>
  </si>
  <si>
    <t>https://work.co/careers/</t>
  </si>
  <si>
    <t>https://www.instrument.com/careers</t>
  </si>
  <si>
    <t>https://metalab.com/careers</t>
  </si>
  <si>
    <t>https://ustwo.com/careers</t>
  </si>
  <si>
    <t>https://fantasy.co/#careers</t>
  </si>
  <si>
    <t>https://clay.global/careers</t>
  </si>
  <si>
    <t>https://www.ramotion.com/careers/</t>
  </si>
  <si>
    <t>https://www.strv.com/careers</t>
  </si>
  <si>
    <t>https://design.studio/careers</t>
  </si>
  <si>
    <t>https://www.movingbrands.com/careers</t>
  </si>
  <si>
    <t>https://www.wearecollins.com/careers/</t>
  </si>
  <si>
    <t>https://www.wolffolins.com/careers/</t>
  </si>
  <si>
    <t>https://landor.com/join-us</t>
  </si>
  <si>
    <t>https://saffron-consultants.com/careers/</t>
  </si>
  <si>
    <t>https://www.superunion.com/careers</t>
  </si>
  <si>
    <t>https://koto.studio/jobs/</t>
  </si>
  <si>
    <t>https://raggededge.com/careers/</t>
  </si>
  <si>
    <t>https://www.mucho.co/contact#jobs</t>
  </si>
  <si>
    <t>https://zurb.com/jobs</t>
  </si>
  <si>
    <t>https://www.doberman.co/careers</t>
  </si>
  <si>
    <t>https://www.bcgdv.com/careers/</t>
  </si>
  <si>
    <t>https://www.palo-it.com/careers</t>
  </si>
  <si>
    <t>https://www.netguru.com/career</t>
  </si>
  <si>
    <t>https://careers.eleks.com/</t>
  </si>
  <si>
    <t>https://andersenlab.com/careers</t>
  </si>
  <si>
    <t>https://www.bairesdev.com/careers/</t>
  </si>
  <si>
    <t>https://thoughtbot.com/jobs</t>
  </si>
  <si>
    <t>https://www.deloitte.com/us/en/what-we-do/capabilities/applied-artificial-intelligence/articles/trustworthy-ai-governance-in-practice.html</t>
  </si>
  <si>
    <t>https://www.ibm.com/trust/responsible-ai</t>
  </si>
  <si>
    <t>https://www.fintechstrategy.com/blog/2025/06/02/publicis-sapient-why-ai-in-banking-is-only-as-smart-as-the-systems-behind-it/</t>
  </si>
  <si>
    <t>https://www.thoughtworks.com/en-us/insights/articles/responsible-tech-playbook</t>
  </si>
  <si>
    <t>https://www.mckinsey.com/featured-insights/mckinsey-explainers/what-is-generative-ai</t>
  </si>
  <si>
    <t>https://github.com/DeloitteDigital</t>
  </si>
  <si>
    <t>https://github.com/ibm</t>
  </si>
  <si>
    <t>https://github.com/publicissapient</t>
  </si>
  <si>
    <t>https://github.com/epam</t>
  </si>
  <si>
    <t>https://github.com/globant</t>
  </si>
  <si>
    <t>https://github.com/valtech</t>
  </si>
  <si>
    <t>https://github.com/endava</t>
  </si>
  <si>
    <t>https://github.com/ciandt</t>
  </si>
  <si>
    <t>https://github.com/thoughtworks</t>
  </si>
  <si>
    <t>https://github.com/mckinsey</t>
  </si>
  <si>
    <t>https://github.com/CognizantOpenSource</t>
  </si>
  <si>
    <t>https://github.com/infosys</t>
  </si>
  <si>
    <t>https://github.com/WiproOpenSource</t>
  </si>
  <si>
    <t>https://github.com/hcltech</t>
  </si>
  <si>
    <t>https://github.com/TCS-Research</t>
  </si>
  <si>
    <t>https://github.com/nttdata</t>
  </si>
  <si>
    <t>https://github.com/kinandcarta</t>
  </si>
  <si>
    <t>https://github.com/softserveinc</t>
  </si>
  <si>
    <t>https://github.com/foundation</t>
  </si>
  <si>
    <t>https://github.com/netguru</t>
  </si>
  <si>
    <t>https://github.com/thoughtbot</t>
  </si>
  <si>
    <t>https://www2.deloitte.com/us/en/insights.html</t>
  </si>
  <si>
    <t>https://www.ibm.com/blog</t>
  </si>
  <si>
    <t>https://careers.publicissapient.com/life-at-ps/blog</t>
  </si>
  <si>
    <t>https://www.frog.co/designmind</t>
  </si>
  <si>
    <t>https://www.akqa.com/work/</t>
  </si>
  <si>
    <t>https://rga.com/work</t>
  </si>
  <si>
    <t>https://www.hugeinc.com/work/</t>
  </si>
  <si>
    <t>https://www.ideo.com/journal</t>
  </si>
  <si>
    <t>https://www.pentagram.com/work</t>
  </si>
  <si>
    <t>https://www.epam.com/insights</t>
  </si>
  <si>
    <t>https://www.globant.com/insights</t>
  </si>
  <si>
    <t>https://www.valtech.com/insights/</t>
  </si>
  <si>
    <t>https://www.endava.com/insights</t>
  </si>
  <si>
    <t>https://ciandt.com/us/en-us/latest-content</t>
  </si>
  <si>
    <t>https://www.thoughtworks.com/insights</t>
  </si>
  <si>
    <t>https://www.mckinsey.com/featured-insights</t>
  </si>
  <si>
    <t>https://www.bcg.com/insights</t>
  </si>
  <si>
    <t>https://www.bain.com/insights/</t>
  </si>
  <si>
    <t>https://www.pwc.com/gx/en/insights.html</t>
  </si>
  <si>
    <t>https://www.ey.com/en_gl/insights</t>
  </si>
  <si>
    <t>https://kpmg.com/xx/en/home/insights.html</t>
  </si>
  <si>
    <t>https://www.cognizant.com/us/en/insights</t>
  </si>
  <si>
    <t>https://www.infosys.com/insights</t>
  </si>
  <si>
    <t>https://www.wipro.com/insights/</t>
  </si>
  <si>
    <t>https://www.hcltech.com/blogs</t>
  </si>
  <si>
    <t>https://www.tcs.com/insights</t>
  </si>
  <si>
    <t>https://www.nttdata.com/global/en/insights</t>
  </si>
  <si>
    <t>https://www.dentsu.com/our-thinking</t>
  </si>
  <si>
    <t>https://www.vml.com/insights</t>
  </si>
  <si>
    <t>https://www.ogilvy.com/ideas</t>
  </si>
  <si>
    <t>https://www.razorfish.com/ideas</t>
  </si>
  <si>
    <t>https://www.havas.com/news/</t>
  </si>
  <si>
    <t>https://www.codeandtheory.com/thinking</t>
  </si>
  <si>
    <t>https://www.criticalmass.com/what-we-think</t>
  </si>
  <si>
    <t>https://www.kinandcarta.com/en-us/insights/</t>
  </si>
  <si>
    <t>https://www.techmahindra.com/en-in/insights/</t>
  </si>
  <si>
    <t>https://www.ltimindtree.com/insights/</t>
  </si>
  <si>
    <t>https://www.cgi.com/en/insights</t>
  </si>
  <si>
    <t>https://www.luxoft.com/insights</t>
  </si>
  <si>
    <t>https://eviden.com/resources/</t>
  </si>
  <si>
    <t>https://www.fujitsu.com/global/resources/</t>
  </si>
  <si>
    <t>https://www.nec.com/en/global/techrep/</t>
  </si>
  <si>
    <t>https://www.hitachivantara.com/en-us/insights.html</t>
  </si>
  <si>
    <t>https://www.samsungsds.com/global/en/insights/all.html</t>
  </si>
  <si>
    <t>https://blog.lgcns.com/</t>
  </si>
  <si>
    <t>https://www.skcc.com/insight</t>
  </si>
  <si>
    <t>https://www.ncs.co/en/insights/</t>
  </si>
  <si>
    <t>https://www.slalom.com/insights</t>
  </si>
  <si>
    <t>https://www.avanade.com/en/insights</t>
  </si>
  <si>
    <t>https://www.softserveinc.com/en-us/blog</t>
  </si>
  <si>
    <t>https://www.ust.com/insights</t>
  </si>
  <si>
    <t>https://www.nagarro.com/en/blog</t>
  </si>
  <si>
    <t>https://www.virtusa.com/perspectives</t>
  </si>
  <si>
    <t>https://www.zensar.com/insights</t>
  </si>
  <si>
    <t>https://www.persistent.com/insights/</t>
  </si>
  <si>
    <t>https://www.soprasteria.com/newsroom</t>
  </si>
  <si>
    <t>https://www.capita.com/insights</t>
  </si>
  <si>
    <t>https://www.reply.com/en/topics/artificial-intelligence</t>
  </si>
  <si>
    <t>https://www.bechtle.com/de-en/about-bechtle/newsroom</t>
  </si>
  <si>
    <t>https://www.t-systems.com/de/en/newsroom</t>
  </si>
  <si>
    <t>https://www.kyndryl.com/us/en/learn</t>
  </si>
  <si>
    <t>https://www.pwc.com/jp/en/knowledge.html</t>
  </si>
  <si>
    <t>https://www.ey.com/ja_jp/insights</t>
  </si>
  <si>
    <t>https://work.co/ideas/</t>
  </si>
  <si>
    <t>https://www.instrument.com/news</t>
  </si>
  <si>
    <t>https://metalab.com/ideas</t>
  </si>
  <si>
    <t>https://ustwo.com/blog</t>
  </si>
  <si>
    <t>https://fantasy.co/work</t>
  </si>
  <si>
    <t>https://clay.global/work</t>
  </si>
  <si>
    <t>https://www.ramotion.com/blog/</t>
  </si>
  <si>
    <t>https://www.strv.com/blog</t>
  </si>
  <si>
    <t>https://design.studio/journal</t>
  </si>
  <si>
    <t>https://www.movingbrands.com/work</t>
  </si>
  <si>
    <t>https://www.wearecollins.com/things/</t>
  </si>
  <si>
    <t>https://www.wolffolins.com/our-thinking/</t>
  </si>
  <si>
    <t>https://landor.com/our-thinking</t>
  </si>
  <si>
    <t>https://saffron-consultants.com/insights/</t>
  </si>
  <si>
    <t>https://www.superunion.com/ideas</t>
  </si>
  <si>
    <t>https://koto.studio/stories/</t>
  </si>
  <si>
    <t>https://raggededge.com/journal/</t>
  </si>
  <si>
    <t>https://www.mucho.co/news</t>
  </si>
  <si>
    <t>https://www.eightshapes.com/articles/</t>
  </si>
  <si>
    <t>https://zurb.com/blog</t>
  </si>
  <si>
    <t>https://www.doberman.co/stories</t>
  </si>
  <si>
    <t>https://www.bcgdv.com/insights/</t>
  </si>
  <si>
    <t>https://www.palo-it.com/insights</t>
  </si>
  <si>
    <t>https://www.netguru.com/blog</t>
  </si>
  <si>
    <t>https://eleks.com/blog/</t>
  </si>
  <si>
    <t>https://andersenlab.com/insights</t>
  </si>
  <si>
    <t>https://www.bairesdev.com/blog/</t>
  </si>
  <si>
    <t>https://thoughtbot.com/blog</t>
  </si>
  <si>
    <t>https://www.ibm.com/design/language/</t>
  </si>
  <si>
    <t>https://www.eightshapes.com/books/</t>
  </si>
  <si>
    <t>Trustworthy AI framework; global accessibility statement; OSS org placeholder (no public repos).</t>
  </si>
  <si>
    <t>IBM Responsible AI principles; ISO 27001 certifications by unit; IBM Design Language reference.</t>
  </si>
  <si>
    <t>PS engineering blog and OSS org; ISO alignment via Publicis Groupe disclosures.</t>
  </si>
  <si>
    <t>Capabilities; DesignMind blog; careers.</t>
  </si>
  <si>
    <t>Case examples and careers; no public ISO page found in quick pass.</t>
  </si>
  <si>
    <t>Corporate site + careers.</t>
  </si>
  <si>
    <t>Corporate and careers pages.</t>
  </si>
  <si>
    <t>Inclusive design program page; careers and journal as evidence of cadence.</t>
  </si>
  <si>
    <t>Portfolio and studio info; limited formal disclosures publicly.</t>
  </si>
  <si>
    <t>AI services page; compliance and security pages; OSS org.</t>
  </si>
  <si>
    <t>AI studio; InfoSec page; OSS org; insights blog.</t>
  </si>
  <si>
    <t>AI insights hub; InfoSec; careers; OSS.</t>
  </si>
  <si>
    <t>AI &amp; Automation capability; security page; sustainability/governance mentions ISO certs.</t>
  </si>
  <si>
    <t>AI practice page; security/privacy page; OSS.</t>
  </si>
  <si>
    <t>Responsible tech &amp; AI practice; secure-by-design; Tech Radar/insights as cadence evidence.</t>
  </si>
  <si>
    <t>Design unit within McKinsey; QuantumBlack as AI practice (high-level).</t>
  </si>
  <si>
    <t>BCG X umbrella for build/AI.</t>
  </si>
  <si>
    <t>Advanced analytics/AI pages; insights.</t>
  </si>
  <si>
    <t>Global AI/analytics hub.</t>
  </si>
  <si>
    <t>AI alliances &amp; insights.</t>
  </si>
  <si>
    <t>AI services overview.</t>
  </si>
  <si>
    <t>Trust Center; AI services; OSS org.</t>
  </si>
  <si>
    <t>Trust center; GenAI page; OSS.</t>
  </si>
  <si>
    <t>AI hub; InfoSec; OSS.</t>
  </si>
  <si>
    <t>AI landing; careers; blog; OSS.</t>
  </si>
  <si>
    <t>AI &amp; Cloud services; Trust page; Research GitHub.</t>
  </si>
  <si>
    <t>Global AI offerings page.</t>
  </si>
  <si>
    <t>Dentsu creative/tech umbrella.</t>
  </si>
  <si>
    <t>Tech services page.</t>
  </si>
  <si>
    <t>Consulting/experience capability.</t>
  </si>
  <si>
    <t>Tech capability and ideas.</t>
  </si>
  <si>
    <t>Group capability hub.</t>
  </si>
  <si>
    <t>Tech expertise; thinking hub.</t>
  </si>
  <si>
    <t>Capabilities; thought hub.</t>
  </si>
  <si>
    <t>AI expertise hub; policies; OSS.</t>
  </si>
  <si>
    <t>AI services; InfoSec; insights; careers.</t>
  </si>
  <si>
    <t>AI hub; information security; insights.</t>
  </si>
  <si>
    <t>AI page; quality &amp; security; insights.</t>
  </si>
  <si>
    <t>Subsidiary of DXC; AI services; InfoSec; insights.</t>
  </si>
  <si>
    <t>Atos group brand; Data &amp; AI; security &amp; compliance.</t>
  </si>
  <si>
    <t>AI solutions; information security; resources; careers.</t>
  </si>
  <si>
    <t>AI solutions; information security; technical reports.</t>
  </si>
  <si>
    <t>AI services; trust center; insights; careers.</t>
  </si>
  <si>
    <t>AI portfolio; Trust Center; insights.</t>
  </si>
  <si>
    <t>AI page; security/ESG; official blog; careers.</t>
  </si>
  <si>
    <t>AI business page; info security (ESG); insights.</t>
  </si>
  <si>
    <t>SingTel subsidiary; data &amp; AI; trust center.</t>
  </si>
  <si>
    <t>AI practice; insights; careers.</t>
  </si>
  <si>
    <t>Joint venture Accenture x Microsoft; trust center; AI services.</t>
  </si>
  <si>
    <t>AI services; security; OSS; blog.</t>
  </si>
  <si>
    <t>AI landing; insights; careers.</t>
  </si>
  <si>
    <t>AI services; quality &amp; InfoSec; blog.</t>
  </si>
  <si>
    <t>AI/ML; trust center; perspectives.</t>
  </si>
  <si>
    <t>AI &amp; automation; policies; insights.</t>
  </si>
  <si>
    <t>AI &amp; data; trust center; insights.</t>
  </si>
  <si>
    <t>AI offer; governance &amp; policies; newsroom.</t>
  </si>
  <si>
    <t>Digital transformation; governance; insights.</t>
  </si>
  <si>
    <t>AI topics hub; careers.</t>
  </si>
  <si>
    <t>AI solutions; newsroom; careers.</t>
  </si>
  <si>
    <t>Deutsche Telekom subsidiary; compliance; newsroom.</t>
  </si>
  <si>
    <t>Data &amp; AI services; trust center; learn hub.</t>
  </si>
  <si>
    <t>Japan site: analytics/AI; knowledge hub; careers.</t>
  </si>
  <si>
    <t>Japan site: AI alliances; insights; careers.</t>
  </si>
  <si>
    <t>Product engineering &amp; tech capabilities; careers; ideas/blog.</t>
  </si>
  <si>
    <t>Tech services; hiring; newsroom (cadence).</t>
  </si>
  <si>
    <t>Product studios focus; ideas/blog; hiring.</t>
  </si>
  <si>
    <t>Services incl. emerging tech; blog; careers.</t>
  </si>
  <si>
    <t>Capabilities; portfolio cadence; careers.</t>
  </si>
  <si>
    <t>Service list; work cadence; careers.</t>
  </si>
  <si>
    <t>Services; blog; hiring.</t>
  </si>
  <si>
    <t>Service &amp; blog; hiring.</t>
  </si>
  <si>
    <t>Journal cadence; careers; portfolio.</t>
  </si>
  <si>
    <t>What we do; work cadence; careers.</t>
  </si>
  <si>
    <t>Work &amp; things (blog); careers.</t>
  </si>
  <si>
    <t>Services; thinking/blog; careers.</t>
  </si>
  <si>
    <t>Services; thinking; careers.</t>
  </si>
  <si>
    <t>Expertise; insights/blog; careers.</t>
  </si>
  <si>
    <t>Ideas/blog; careers; work cadence.</t>
  </si>
  <si>
    <t>Stories blog; jobs; work.</t>
  </si>
  <si>
    <t>Journal/blog; careers; work.</t>
  </si>
  <si>
    <t>Projects; news cadence; jobs.</t>
  </si>
  <si>
    <t>Design system experts; articles; books; services.</t>
  </si>
  <si>
    <t>Makers of Foundation OSS; services; jobs; blog.</t>
  </si>
  <si>
    <t>Stories (blog); careers; work.</t>
  </si>
  <si>
    <t>Venture building; insights; careers.</t>
  </si>
  <si>
    <t>Services; insights; careers.</t>
  </si>
  <si>
    <t>AI services; blog; careers; OSS org.</t>
  </si>
  <si>
    <t>Data science/AI service; careers; blog.</t>
  </si>
  <si>
    <t>AI/ML service; insights; careers.</t>
  </si>
  <si>
    <t>AI services; careers; blog.</t>
  </si>
  <si>
    <t>Open-source heavy (e.g., suspenders); blog; jobs.</t>
  </si>
  <si>
    <t>CorporateForm</t>
  </si>
  <si>
    <t>EmployeesRange</t>
  </si>
  <si>
    <t>DeliveryModel</t>
  </si>
  <si>
    <t>TicketBand</t>
  </si>
  <si>
    <t>YesNo</t>
  </si>
  <si>
    <t>Accessibility</t>
  </si>
  <si>
    <t>HiringVelocity</t>
  </si>
  <si>
    <t>AI_Adoption_Index</t>
  </si>
  <si>
    <t>GenAI_DesignOps</t>
  </si>
  <si>
    <t>ModelStack</t>
  </si>
  <si>
    <t>OSS</t>
  </si>
  <si>
    <t>BlogCadence</t>
  </si>
  <si>
    <t>DesignSystem</t>
  </si>
  <si>
    <t>Analytics</t>
  </si>
  <si>
    <t>SecSDLC</t>
  </si>
  <si>
    <t>In-house design organization (corporate)</t>
  </si>
  <si>
    <t>&lt;$250k</t>
  </si>
  <si>
    <t>WCAG AAA</t>
  </si>
  <si>
    <t>0</t>
  </si>
  <si>
    <t>4</t>
  </si>
  <si>
    <t>5</t>
  </si>
  <si>
    <t>key</t>
  </si>
  <si>
    <t>pts</t>
  </si>
  <si>
    <t>Preset</t>
  </si>
  <si>
    <t>Selected Preset</t>
  </si>
  <si>
    <t>AI_Adoption_Weight</t>
  </si>
  <si>
    <t>Ops_Quality_Weight</t>
  </si>
  <si>
    <t>Talent_Weight</t>
  </si>
  <si>
    <t>Delivery_Weight</t>
  </si>
  <si>
    <t>R&amp;D_Weight</t>
  </si>
  <si>
    <t>Default (Balanced)</t>
  </si>
  <si>
    <t>Defense-leaning</t>
  </si>
  <si>
    <t>Consumer Digital</t>
  </si>
  <si>
    <t>R&amp;D-centric</t>
  </si>
  <si>
    <t>Sum must be 100</t>
  </si>
  <si>
    <t>Top 10 by TOTAL_SCORE (weights + presets)</t>
  </si>
  <si>
    <t>Choose a Preset on Weights!B1 to auto-fill weights.</t>
  </si>
  <si>
    <t>Rank</t>
  </si>
  <si>
    <t>TOTAL_SCORE</t>
  </si>
  <si>
    <t>AI</t>
  </si>
  <si>
    <t>Ops</t>
  </si>
  <si>
    <t>Talent</t>
  </si>
  <si>
    <t>Delivery</t>
  </si>
  <si>
    <t>R&amp;D</t>
  </si>
  <si>
    <t>Mix Sparkline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</si>
</sst>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ccenture.com/" TargetMode="External"/><Relationship Id="rId2" Type="http://schemas.openxmlformats.org/officeDocument/2006/relationships/hyperlink" Target="https://www.deloittedigital.com/" TargetMode="External"/><Relationship Id="rId3" Type="http://schemas.openxmlformats.org/officeDocument/2006/relationships/hyperlink" Target="https://www.deloitte.com/us/en/what-we-do/capabilities/applied-artificial-intelligence/services/ethics-of-ai-framework.html" TargetMode="External"/><Relationship Id="rId4" Type="http://schemas.openxmlformats.org/officeDocument/2006/relationships/hyperlink" Target="https://www.deloitte.com/global/en/legal/accessibility-statement.html" TargetMode="External"/><Relationship Id="rId5" Type="http://schemas.openxmlformats.org/officeDocument/2006/relationships/hyperlink" Target="https://apply.deloitte.com/" TargetMode="External"/><Relationship Id="rId6" Type="http://schemas.openxmlformats.org/officeDocument/2006/relationships/hyperlink" Target="https://www.deloitte.com/us/en/what-we-do/capabilities/applied-artificial-intelligence/articles/trustworthy-ai-governance-in-practice.html" TargetMode="External"/><Relationship Id="rId7" Type="http://schemas.openxmlformats.org/officeDocument/2006/relationships/hyperlink" Target="https://github.com/DeloitteDigital" TargetMode="External"/><Relationship Id="rId8" Type="http://schemas.openxmlformats.org/officeDocument/2006/relationships/hyperlink" Target="https://www2.deloitte.com/us/en/insights.html" TargetMode="External"/><Relationship Id="rId9" Type="http://schemas.openxmlformats.org/officeDocument/2006/relationships/hyperlink" Target="https://www.ibm.com/consulting/ibmix" TargetMode="External"/><Relationship Id="rId10" Type="http://schemas.openxmlformats.org/officeDocument/2006/relationships/hyperlink" Target="https://ibmix.de/en/services/ai-data-transformation" TargetMode="External"/><Relationship Id="rId11" Type="http://schemas.openxmlformats.org/officeDocument/2006/relationships/hyperlink" Target="https://www.ibm.com/support/pages/ibm-global-business-unit-iso-27001-certifications" TargetMode="External"/><Relationship Id="rId12" Type="http://schemas.openxmlformats.org/officeDocument/2006/relationships/hyperlink" Target="https://www.ibm.com/careers" TargetMode="External"/><Relationship Id="rId13" Type="http://schemas.openxmlformats.org/officeDocument/2006/relationships/hyperlink" Target="https://www.ibm.com/trust/responsible-ai" TargetMode="External"/><Relationship Id="rId14" Type="http://schemas.openxmlformats.org/officeDocument/2006/relationships/hyperlink" Target="https://github.com/ibm" TargetMode="External"/><Relationship Id="rId15" Type="http://schemas.openxmlformats.org/officeDocument/2006/relationships/hyperlink" Target="https://www.ibm.com/blog" TargetMode="External"/><Relationship Id="rId16" Type="http://schemas.openxmlformats.org/officeDocument/2006/relationships/hyperlink" Target="https://www.ibm.com/design/language/" TargetMode="External"/><Relationship Id="rId17" Type="http://schemas.openxmlformats.org/officeDocument/2006/relationships/hyperlink" Target="https://www.publicissapient.com/" TargetMode="External"/><Relationship Id="rId18" Type="http://schemas.openxmlformats.org/officeDocument/2006/relationships/hyperlink" Target="https://careers.publicissapient.com/life-at-ps/blog/the-place-for-engineering-and-tech-trailblazers" TargetMode="External"/><Relationship Id="rId19" Type="http://schemas.openxmlformats.org/officeDocument/2006/relationships/hyperlink" Target="https://www.publicissapient.com/" TargetMode="External"/><Relationship Id="rId20" Type="http://schemas.openxmlformats.org/officeDocument/2006/relationships/hyperlink" Target="https://careers.publicissapient.com/" TargetMode="External"/><Relationship Id="rId21" Type="http://schemas.openxmlformats.org/officeDocument/2006/relationships/hyperlink" Target="https://www.fintechstrategy.com/blog/2025/06/02/publicis-sapient-why-ai-in-banking-is-only-as-smart-as-the-systems-behind-it/" TargetMode="External"/><Relationship Id="rId22" Type="http://schemas.openxmlformats.org/officeDocument/2006/relationships/hyperlink" Target="https://github.com/publicissapient" TargetMode="External"/><Relationship Id="rId23" Type="http://schemas.openxmlformats.org/officeDocument/2006/relationships/hyperlink" Target="https://careers.publicissapient.com/life-at-ps/blog" TargetMode="External"/><Relationship Id="rId24" Type="http://schemas.openxmlformats.org/officeDocument/2006/relationships/hyperlink" Target="https://www.frog.co/" TargetMode="External"/><Relationship Id="rId25" Type="http://schemas.openxmlformats.org/officeDocument/2006/relationships/hyperlink" Target="https://www.frog.co/capabilities" TargetMode="External"/><Relationship Id="rId26" Type="http://schemas.openxmlformats.org/officeDocument/2006/relationships/hyperlink" Target="https://www.frog.co/careers" TargetMode="External"/><Relationship Id="rId27" Type="http://schemas.openxmlformats.org/officeDocument/2006/relationships/hyperlink" Target="https://www.frog.co/designmind" TargetMode="External"/><Relationship Id="rId28" Type="http://schemas.openxmlformats.org/officeDocument/2006/relationships/hyperlink" Target="https://www.akqa.com/" TargetMode="External"/><Relationship Id="rId29" Type="http://schemas.openxmlformats.org/officeDocument/2006/relationships/hyperlink" Target="https://www.akqa.com/work/here/simply-here/" TargetMode="External"/><Relationship Id="rId30" Type="http://schemas.openxmlformats.org/officeDocument/2006/relationships/hyperlink" Target="https://www.akqa.com/careers/what-we-look-for/" TargetMode="External"/><Relationship Id="rId31" Type="http://schemas.openxmlformats.org/officeDocument/2006/relationships/hyperlink" Target="https://www.akqa.com/careers/" TargetMode="External"/><Relationship Id="rId32" Type="http://schemas.openxmlformats.org/officeDocument/2006/relationships/hyperlink" Target="https://www.akqa.com/work/" TargetMode="External"/><Relationship Id="rId33" Type="http://schemas.openxmlformats.org/officeDocument/2006/relationships/hyperlink" Target="https://rga.com/" TargetMode="External"/><Relationship Id="rId34" Type="http://schemas.openxmlformats.org/officeDocument/2006/relationships/hyperlink" Target="https://rga.com/" TargetMode="External"/><Relationship Id="rId35" Type="http://schemas.openxmlformats.org/officeDocument/2006/relationships/hyperlink" Target="https://rga.com/careers" TargetMode="External"/><Relationship Id="rId36" Type="http://schemas.openxmlformats.org/officeDocument/2006/relationships/hyperlink" Target="https://rga.com/work" TargetMode="External"/><Relationship Id="rId37" Type="http://schemas.openxmlformats.org/officeDocument/2006/relationships/hyperlink" Target="https://www.hugeinc.com/" TargetMode="External"/><Relationship Id="rId38" Type="http://schemas.openxmlformats.org/officeDocument/2006/relationships/hyperlink" Target="https://www.hugeinc.com/" TargetMode="External"/><Relationship Id="rId39" Type="http://schemas.openxmlformats.org/officeDocument/2006/relationships/hyperlink" Target="https://www.hugeinc.com/careers/" TargetMode="External"/><Relationship Id="rId40" Type="http://schemas.openxmlformats.org/officeDocument/2006/relationships/hyperlink" Target="https://www.hugeinc.com/work/" TargetMode="External"/><Relationship Id="rId41" Type="http://schemas.openxmlformats.org/officeDocument/2006/relationships/hyperlink" Target="https://www.ideo.com/" TargetMode="External"/><Relationship Id="rId42" Type="http://schemas.openxmlformats.org/officeDocument/2006/relationships/hyperlink" Target="https://www.ideo.com/inclusion" TargetMode="External"/><Relationship Id="rId43" Type="http://schemas.openxmlformats.org/officeDocument/2006/relationships/hyperlink" Target="https://www.ideo.com/journal/inside-our-effort-to-make-design-careers-more-accessible" TargetMode="External"/><Relationship Id="rId44" Type="http://schemas.openxmlformats.org/officeDocument/2006/relationships/hyperlink" Target="https://www.ideo.com/careers" TargetMode="External"/><Relationship Id="rId45" Type="http://schemas.openxmlformats.org/officeDocument/2006/relationships/hyperlink" Target="https://www.ideo.com/journal" TargetMode="External"/><Relationship Id="rId46" Type="http://schemas.openxmlformats.org/officeDocument/2006/relationships/hyperlink" Target="https://www.pentagram.com/" TargetMode="External"/><Relationship Id="rId47" Type="http://schemas.openxmlformats.org/officeDocument/2006/relationships/hyperlink" Target="https://www.pentagram.com/about" TargetMode="External"/><Relationship Id="rId48" Type="http://schemas.openxmlformats.org/officeDocument/2006/relationships/hyperlink" Target="https://www.pentagram.com/work" TargetMode="External"/><Relationship Id="rId49" Type="http://schemas.openxmlformats.org/officeDocument/2006/relationships/hyperlink" Target="https://www.epam.com/" TargetMode="External"/><Relationship Id="rId50" Type="http://schemas.openxmlformats.org/officeDocument/2006/relationships/hyperlink" Target="https://www.epam.com/services/artificial-intelligence" TargetMode="External"/><Relationship Id="rId51" Type="http://schemas.openxmlformats.org/officeDocument/2006/relationships/hyperlink" Target="https://www.epam.com/about/social-responsibility/information-security" TargetMode="External"/><Relationship Id="rId52" Type="http://schemas.openxmlformats.org/officeDocument/2006/relationships/hyperlink" Target="https://www.epam.com/careers" TargetMode="External"/><Relationship Id="rId53" Type="http://schemas.openxmlformats.org/officeDocument/2006/relationships/hyperlink" Target="https://github.com/epam" TargetMode="External"/><Relationship Id="rId54" Type="http://schemas.openxmlformats.org/officeDocument/2006/relationships/hyperlink" Target="https://www.epam.com/insights" TargetMode="External"/><Relationship Id="rId55" Type="http://schemas.openxmlformats.org/officeDocument/2006/relationships/hyperlink" Target="https://www.globant.com/" TargetMode="External"/><Relationship Id="rId56" Type="http://schemas.openxmlformats.org/officeDocument/2006/relationships/hyperlink" Target="https://www.globant.com/studio/ai" TargetMode="External"/><Relationship Id="rId57" Type="http://schemas.openxmlformats.org/officeDocument/2006/relationships/hyperlink" Target="https://www.globant.com/sustainability/information-security" TargetMode="External"/><Relationship Id="rId58" Type="http://schemas.openxmlformats.org/officeDocument/2006/relationships/hyperlink" Target="https://www.globant.com/careers" TargetMode="External"/><Relationship Id="rId59" Type="http://schemas.openxmlformats.org/officeDocument/2006/relationships/hyperlink" Target="https://github.com/globant" TargetMode="External"/><Relationship Id="rId60" Type="http://schemas.openxmlformats.org/officeDocument/2006/relationships/hyperlink" Target="https://www.globant.com/insights" TargetMode="External"/><Relationship Id="rId61" Type="http://schemas.openxmlformats.org/officeDocument/2006/relationships/hyperlink" Target="https://www.valtech.com/" TargetMode="External"/><Relationship Id="rId62" Type="http://schemas.openxmlformats.org/officeDocument/2006/relationships/hyperlink" Target="https://www.valtech.com/insights/topic/ai/" TargetMode="External"/><Relationship Id="rId63" Type="http://schemas.openxmlformats.org/officeDocument/2006/relationships/hyperlink" Target="https://www.valtech.com/about/information-security/" TargetMode="External"/><Relationship Id="rId64" Type="http://schemas.openxmlformats.org/officeDocument/2006/relationships/hyperlink" Target="https://www.valtech.com/careers/" TargetMode="External"/><Relationship Id="rId65" Type="http://schemas.openxmlformats.org/officeDocument/2006/relationships/hyperlink" Target="https://github.com/valtech" TargetMode="External"/><Relationship Id="rId66" Type="http://schemas.openxmlformats.org/officeDocument/2006/relationships/hyperlink" Target="https://www.valtech.com/insights/" TargetMode="External"/><Relationship Id="rId67" Type="http://schemas.openxmlformats.org/officeDocument/2006/relationships/hyperlink" Target="https://www.endava.com/" TargetMode="External"/><Relationship Id="rId68" Type="http://schemas.openxmlformats.org/officeDocument/2006/relationships/hyperlink" Target="https://www.endava.com/capabilities/ai-automation" TargetMode="External"/><Relationship Id="rId69" Type="http://schemas.openxmlformats.org/officeDocument/2006/relationships/hyperlink" Target="https://www.endava.com/about/security" TargetMode="External"/><Relationship Id="rId70" Type="http://schemas.openxmlformats.org/officeDocument/2006/relationships/hyperlink" Target="https://www.endava.com/careers" TargetMode="External"/><Relationship Id="rId71" Type="http://schemas.openxmlformats.org/officeDocument/2006/relationships/hyperlink" Target="https://github.com/endava" TargetMode="External"/><Relationship Id="rId72" Type="http://schemas.openxmlformats.org/officeDocument/2006/relationships/hyperlink" Target="https://www.endava.com/insights" TargetMode="External"/><Relationship Id="rId73" Type="http://schemas.openxmlformats.org/officeDocument/2006/relationships/hyperlink" Target="https://www.ciandt.com/" TargetMode="External"/><Relationship Id="rId74" Type="http://schemas.openxmlformats.org/officeDocument/2006/relationships/hyperlink" Target="https://ciandt.com/us/en-us/ai" TargetMode="External"/><Relationship Id="rId75" Type="http://schemas.openxmlformats.org/officeDocument/2006/relationships/hyperlink" Target="https://ciandt.com/us/en-us/lp/security-and-privacy" TargetMode="External"/><Relationship Id="rId76" Type="http://schemas.openxmlformats.org/officeDocument/2006/relationships/hyperlink" Target="https://ciandt.com/us/en-us/careers" TargetMode="External"/><Relationship Id="rId77" Type="http://schemas.openxmlformats.org/officeDocument/2006/relationships/hyperlink" Target="https://github.com/ciandt" TargetMode="External"/><Relationship Id="rId78" Type="http://schemas.openxmlformats.org/officeDocument/2006/relationships/hyperlink" Target="https://ciandt.com/us/en-us/latest-content" TargetMode="External"/><Relationship Id="rId79" Type="http://schemas.openxmlformats.org/officeDocument/2006/relationships/hyperlink" Target="https://www.thoughtworks.com/" TargetMode="External"/><Relationship Id="rId80" Type="http://schemas.openxmlformats.org/officeDocument/2006/relationships/hyperlink" Target="https://www.thoughtworks.com/en-us/what-we-do/artificial-intelligence" TargetMode="External"/><Relationship Id="rId81" Type="http://schemas.openxmlformats.org/officeDocument/2006/relationships/hyperlink" Target="https://www.thoughtworks.com/en-us/what-we-do/secure-by-design" TargetMode="External"/><Relationship Id="rId82" Type="http://schemas.openxmlformats.org/officeDocument/2006/relationships/hyperlink" Target="https://www.thoughtworks.com/en-us/careers" TargetMode="External"/><Relationship Id="rId83" Type="http://schemas.openxmlformats.org/officeDocument/2006/relationships/hyperlink" Target="https://www.thoughtworks.com/en-us/insights/articles/responsible-tech-playbook" TargetMode="External"/><Relationship Id="rId84" Type="http://schemas.openxmlformats.org/officeDocument/2006/relationships/hyperlink" Target="https://github.com/thoughtworks" TargetMode="External"/><Relationship Id="rId85" Type="http://schemas.openxmlformats.org/officeDocument/2006/relationships/hyperlink" Target="https://www.thoughtworks.com/insights" TargetMode="External"/><Relationship Id="rId86" Type="http://schemas.openxmlformats.org/officeDocument/2006/relationships/hyperlink" Target="https://www.designit.com/" TargetMode="External"/><Relationship Id="rId87" Type="http://schemas.openxmlformats.org/officeDocument/2006/relationships/hyperlink" Target="https://www.wongdoody.com/" TargetMode="External"/><Relationship Id="rId88" Type="http://schemas.openxmlformats.org/officeDocument/2006/relationships/hyperlink" Target="https://www.tataelxsi.com/" TargetMode="External"/><Relationship Id="rId89" Type="http://schemas.openxmlformats.org/officeDocument/2006/relationships/hyperlink" Target="https://www.cheil.com/" TargetMode="External"/><Relationship Id="rId90" Type="http://schemas.openxmlformats.org/officeDocument/2006/relationships/hyperlink" Target="https://www.mckinsey.com/capabilities/design" TargetMode="External"/><Relationship Id="rId91" Type="http://schemas.openxmlformats.org/officeDocument/2006/relationships/hyperlink" Target="https://www.mckinsey.com/capabilities/quantumblack/overview" TargetMode="External"/><Relationship Id="rId92" Type="http://schemas.openxmlformats.org/officeDocument/2006/relationships/hyperlink" Target="https://www.mckinsey.com/careers" TargetMode="External"/><Relationship Id="rId93" Type="http://schemas.openxmlformats.org/officeDocument/2006/relationships/hyperlink" Target="https://www.mckinsey.com/featured-insights/mckinsey-explainers/what-is-generative-ai" TargetMode="External"/><Relationship Id="rId94" Type="http://schemas.openxmlformats.org/officeDocument/2006/relationships/hyperlink" Target="https://github.com/mckinsey" TargetMode="External"/><Relationship Id="rId95" Type="http://schemas.openxmlformats.org/officeDocument/2006/relationships/hyperlink" Target="https://www.mckinsey.com/featured-insights" TargetMode="External"/><Relationship Id="rId96" Type="http://schemas.openxmlformats.org/officeDocument/2006/relationships/hyperlink" Target="https://www.bcg.com/x" TargetMode="External"/><Relationship Id="rId97" Type="http://schemas.openxmlformats.org/officeDocument/2006/relationships/hyperlink" Target="https://www.bcg.com/x" TargetMode="External"/><Relationship Id="rId98" Type="http://schemas.openxmlformats.org/officeDocument/2006/relationships/hyperlink" Target="https://www.bcg.com/careers" TargetMode="External"/><Relationship Id="rId99" Type="http://schemas.openxmlformats.org/officeDocument/2006/relationships/hyperlink" Target="https://www.bcg.com/insights" TargetMode="External"/><Relationship Id="rId100" Type="http://schemas.openxmlformats.org/officeDocument/2006/relationships/hyperlink" Target="https://www.bain.com/consulting/digital/" TargetMode="External"/><Relationship Id="rId101" Type="http://schemas.openxmlformats.org/officeDocument/2006/relationships/hyperlink" Target="https://www.bain.com/consulting/enterprise-technology/advanced-analytics/" TargetMode="External"/><Relationship Id="rId102" Type="http://schemas.openxmlformats.org/officeDocument/2006/relationships/hyperlink" Target="https://www.bain.com/careers/" TargetMode="External"/><Relationship Id="rId103" Type="http://schemas.openxmlformats.org/officeDocument/2006/relationships/hyperlink" Target="https://www.bain.com/insights/" TargetMode="External"/><Relationship Id="rId104" Type="http://schemas.openxmlformats.org/officeDocument/2006/relationships/hyperlink" Target="https://www.pwc.com/" TargetMode="External"/><Relationship Id="rId105" Type="http://schemas.openxmlformats.org/officeDocument/2006/relationships/hyperlink" Target="https://www.pwc.com/gx/en/issues/analytics/artificial-intelligence.html" TargetMode="External"/><Relationship Id="rId106" Type="http://schemas.openxmlformats.org/officeDocument/2006/relationships/hyperlink" Target="https://www.pwc.com/careers" TargetMode="External"/><Relationship Id="rId107" Type="http://schemas.openxmlformats.org/officeDocument/2006/relationships/hyperlink" Target="https://www.pwc.com/gx/en/insights.html" TargetMode="External"/><Relationship Id="rId108" Type="http://schemas.openxmlformats.org/officeDocument/2006/relationships/hyperlink" Target="https://www.ey.com/" TargetMode="External"/><Relationship Id="rId109" Type="http://schemas.openxmlformats.org/officeDocument/2006/relationships/hyperlink" Target="https://www.ey.com/en_gl/alliances/ai" TargetMode="External"/><Relationship Id="rId110" Type="http://schemas.openxmlformats.org/officeDocument/2006/relationships/hyperlink" Target="https://www.ey.com/en_gl/careers" TargetMode="External"/><Relationship Id="rId111" Type="http://schemas.openxmlformats.org/officeDocument/2006/relationships/hyperlink" Target="https://www.ey.com/en_gl/insights" TargetMode="External"/><Relationship Id="rId112" Type="http://schemas.openxmlformats.org/officeDocument/2006/relationships/hyperlink" Target="https://kpmg.com/" TargetMode="External"/><Relationship Id="rId113" Type="http://schemas.openxmlformats.org/officeDocument/2006/relationships/hyperlink" Target="https://kpmg.com/xx/en/home/services/technology/artificial-intelligence.html" TargetMode="External"/><Relationship Id="rId114" Type="http://schemas.openxmlformats.org/officeDocument/2006/relationships/hyperlink" Target="https://kpmg.com/careers" TargetMode="External"/><Relationship Id="rId115" Type="http://schemas.openxmlformats.org/officeDocument/2006/relationships/hyperlink" Target="https://kpmg.com/xx/en/home/insights.html" TargetMode="External"/><Relationship Id="rId116" Type="http://schemas.openxmlformats.org/officeDocument/2006/relationships/hyperlink" Target="https://www.cognizant.com/" TargetMode="External"/><Relationship Id="rId117" Type="http://schemas.openxmlformats.org/officeDocument/2006/relationships/hyperlink" Target="https://www.cognizant.com/us/en/services/ai" TargetMode="External"/><Relationship Id="rId118" Type="http://schemas.openxmlformats.org/officeDocument/2006/relationships/hyperlink" Target="https://www.cognizant.com/us/en/about-cognizant/trust-center" TargetMode="External"/><Relationship Id="rId119" Type="http://schemas.openxmlformats.org/officeDocument/2006/relationships/hyperlink" Target="https://www.cognizant.com/us/en/about-cognizant/trust-center" TargetMode="External"/><Relationship Id="rId120" Type="http://schemas.openxmlformats.org/officeDocument/2006/relationships/hyperlink" Target="https://careers.cognizant.com/" TargetMode="External"/><Relationship Id="rId121" Type="http://schemas.openxmlformats.org/officeDocument/2006/relationships/hyperlink" Target="https://github.com/CognizantOpenSource" TargetMode="External"/><Relationship Id="rId122" Type="http://schemas.openxmlformats.org/officeDocument/2006/relationships/hyperlink" Target="https://www.cognizant.com/us/en/insights" TargetMode="External"/><Relationship Id="rId123" Type="http://schemas.openxmlformats.org/officeDocument/2006/relationships/hyperlink" Target="https://www.infosys.com/" TargetMode="External"/><Relationship Id="rId124" Type="http://schemas.openxmlformats.org/officeDocument/2006/relationships/hyperlink" Target="https://www.infosys.com/services/data-analytics/offerings/generative-ai.html" TargetMode="External"/><Relationship Id="rId125" Type="http://schemas.openxmlformats.org/officeDocument/2006/relationships/hyperlink" Target="https://www.infosys.com/trust-center/information-security.html" TargetMode="External"/><Relationship Id="rId126" Type="http://schemas.openxmlformats.org/officeDocument/2006/relationships/hyperlink" Target="https://www.infosys.com/services/cyber-security" TargetMode="External"/><Relationship Id="rId127" Type="http://schemas.openxmlformats.org/officeDocument/2006/relationships/hyperlink" Target="https://www.infosys.com/careers/apply.html" TargetMode="External"/><Relationship Id="rId128" Type="http://schemas.openxmlformats.org/officeDocument/2006/relationships/hyperlink" Target="https://github.com/infosys" TargetMode="External"/><Relationship Id="rId129" Type="http://schemas.openxmlformats.org/officeDocument/2006/relationships/hyperlink" Target="https://www.infosys.com/insights" TargetMode="External"/><Relationship Id="rId130" Type="http://schemas.openxmlformats.org/officeDocument/2006/relationships/hyperlink" Target="https://www.wipro.com/" TargetMode="External"/><Relationship Id="rId131" Type="http://schemas.openxmlformats.org/officeDocument/2006/relationships/hyperlink" Target="https://www.wipro.com/ai/" TargetMode="External"/><Relationship Id="rId132" Type="http://schemas.openxmlformats.org/officeDocument/2006/relationships/hyperlink" Target="https://www.wipro.com/service-nets/information-security/" TargetMode="External"/><Relationship Id="rId133" Type="http://schemas.openxmlformats.org/officeDocument/2006/relationships/hyperlink" Target="https://careers.wipro.com/" TargetMode="External"/><Relationship Id="rId134" Type="http://schemas.openxmlformats.org/officeDocument/2006/relationships/hyperlink" Target="https://github.com/WiproOpenSource" TargetMode="External"/><Relationship Id="rId135" Type="http://schemas.openxmlformats.org/officeDocument/2006/relationships/hyperlink" Target="https://www.wipro.com/insights/" TargetMode="External"/><Relationship Id="rId136" Type="http://schemas.openxmlformats.org/officeDocument/2006/relationships/hyperlink" Target="https://www.hcltech.com/" TargetMode="External"/><Relationship Id="rId137" Type="http://schemas.openxmlformats.org/officeDocument/2006/relationships/hyperlink" Target="https://www.hcltech.com/ai" TargetMode="External"/><Relationship Id="rId138" Type="http://schemas.openxmlformats.org/officeDocument/2006/relationships/hyperlink" Target="https://www.hcltech.com/careers" TargetMode="External"/><Relationship Id="rId139" Type="http://schemas.openxmlformats.org/officeDocument/2006/relationships/hyperlink" Target="https://github.com/hcltech" TargetMode="External"/><Relationship Id="rId140" Type="http://schemas.openxmlformats.org/officeDocument/2006/relationships/hyperlink" Target="https://www.hcltech.com/blogs" TargetMode="External"/><Relationship Id="rId141" Type="http://schemas.openxmlformats.org/officeDocument/2006/relationships/hyperlink" Target="https://www.tcs.com/what-we-do/services/interactive" TargetMode="External"/><Relationship Id="rId142" Type="http://schemas.openxmlformats.org/officeDocument/2006/relationships/hyperlink" Target="https://www.tcs.com/what-we-do/services/ai-cloud" TargetMode="External"/><Relationship Id="rId143" Type="http://schemas.openxmlformats.org/officeDocument/2006/relationships/hyperlink" Target="https://www.tcs.com/who-we-are/security-trust" TargetMode="External"/><Relationship Id="rId144" Type="http://schemas.openxmlformats.org/officeDocument/2006/relationships/hyperlink" Target="https://www.tcs.com/careers" TargetMode="External"/><Relationship Id="rId145" Type="http://schemas.openxmlformats.org/officeDocument/2006/relationships/hyperlink" Target="https://github.com/TCS-Research" TargetMode="External"/><Relationship Id="rId146" Type="http://schemas.openxmlformats.org/officeDocument/2006/relationships/hyperlink" Target="https://www.tcs.com/insights" TargetMode="External"/><Relationship Id="rId147" Type="http://schemas.openxmlformats.org/officeDocument/2006/relationships/hyperlink" Target="https://www.tangity.design/" TargetMode="External"/><Relationship Id="rId148" Type="http://schemas.openxmlformats.org/officeDocument/2006/relationships/hyperlink" Target="https://www.nttdata.com/global/en/offerings/advisory/ai" TargetMode="External"/><Relationship Id="rId149" Type="http://schemas.openxmlformats.org/officeDocument/2006/relationships/hyperlink" Target="https://www.nttdata.com/global/en/careers" TargetMode="External"/><Relationship Id="rId150" Type="http://schemas.openxmlformats.org/officeDocument/2006/relationships/hyperlink" Target="https://github.com/nttdata" TargetMode="External"/><Relationship Id="rId151" Type="http://schemas.openxmlformats.org/officeDocument/2006/relationships/hyperlink" Target="https://www.nttdata.com/global/en/insights" TargetMode="External"/><Relationship Id="rId152" Type="http://schemas.openxmlformats.org/officeDocument/2006/relationships/hyperlink" Target="https://www.dentsu.com/" TargetMode="External"/><Relationship Id="rId153" Type="http://schemas.openxmlformats.org/officeDocument/2006/relationships/hyperlink" Target="https://www.dentsu.com/services/creative" TargetMode="External"/><Relationship Id="rId154" Type="http://schemas.openxmlformats.org/officeDocument/2006/relationships/hyperlink" Target="https://www.dentsu.com/careers" TargetMode="External"/><Relationship Id="rId155" Type="http://schemas.openxmlformats.org/officeDocument/2006/relationships/hyperlink" Target="https://www.dentsu.com/our-thinking" TargetMode="External"/><Relationship Id="rId156" Type="http://schemas.openxmlformats.org/officeDocument/2006/relationships/hyperlink" Target="https://www.vml.com/" TargetMode="External"/><Relationship Id="rId157" Type="http://schemas.openxmlformats.org/officeDocument/2006/relationships/hyperlink" Target="https://www.vml.com/services/technology" TargetMode="External"/><Relationship Id="rId158" Type="http://schemas.openxmlformats.org/officeDocument/2006/relationships/hyperlink" Target="https://www.vml.com/careers" TargetMode="External"/><Relationship Id="rId159" Type="http://schemas.openxmlformats.org/officeDocument/2006/relationships/hyperlink" Target="https://www.vml.com/insights" TargetMode="External"/><Relationship Id="rId160" Type="http://schemas.openxmlformats.org/officeDocument/2006/relationships/hyperlink" Target="https://www.ogilvy.com/" TargetMode="External"/><Relationship Id="rId161" Type="http://schemas.openxmlformats.org/officeDocument/2006/relationships/hyperlink" Target="https://www.ogilvy.com/capabilities/consulting" TargetMode="External"/><Relationship Id="rId162" Type="http://schemas.openxmlformats.org/officeDocument/2006/relationships/hyperlink" Target="https://www.ogilvy.com/careers" TargetMode="External"/><Relationship Id="rId163" Type="http://schemas.openxmlformats.org/officeDocument/2006/relationships/hyperlink" Target="https://www.ogilvy.com/ideas" TargetMode="External"/><Relationship Id="rId164" Type="http://schemas.openxmlformats.org/officeDocument/2006/relationships/hyperlink" Target="https://www.razorfish.com/" TargetMode="External"/><Relationship Id="rId165" Type="http://schemas.openxmlformats.org/officeDocument/2006/relationships/hyperlink" Target="https://www.razorfish.com/capabilities/technology" TargetMode="External"/><Relationship Id="rId166" Type="http://schemas.openxmlformats.org/officeDocument/2006/relationships/hyperlink" Target="https://www.razorfish.com/careers" TargetMode="External"/><Relationship Id="rId167" Type="http://schemas.openxmlformats.org/officeDocument/2006/relationships/hyperlink" Target="https://www.razorfish.com/ideas" TargetMode="External"/><Relationship Id="rId168" Type="http://schemas.openxmlformats.org/officeDocument/2006/relationships/hyperlink" Target="https://www.havascx.com/" TargetMode="External"/><Relationship Id="rId169" Type="http://schemas.openxmlformats.org/officeDocument/2006/relationships/hyperlink" Target="https://www.havas.com/our-capabilities" TargetMode="External"/><Relationship Id="rId170" Type="http://schemas.openxmlformats.org/officeDocument/2006/relationships/hyperlink" Target="https://www.havas.com/careers" TargetMode="External"/><Relationship Id="rId171" Type="http://schemas.openxmlformats.org/officeDocument/2006/relationships/hyperlink" Target="https://www.havas.com/news/" TargetMode="External"/><Relationship Id="rId172" Type="http://schemas.openxmlformats.org/officeDocument/2006/relationships/hyperlink" Target="https://www.codeandtheory.com/" TargetMode="External"/><Relationship Id="rId173" Type="http://schemas.openxmlformats.org/officeDocument/2006/relationships/hyperlink" Target="https://www.codeandtheory.com/expertise/technology" TargetMode="External"/><Relationship Id="rId174" Type="http://schemas.openxmlformats.org/officeDocument/2006/relationships/hyperlink" Target="https://www.codeandtheory.com/careers" TargetMode="External"/><Relationship Id="rId175" Type="http://schemas.openxmlformats.org/officeDocument/2006/relationships/hyperlink" Target="https://www.codeandtheory.com/thinking" TargetMode="External"/><Relationship Id="rId176" Type="http://schemas.openxmlformats.org/officeDocument/2006/relationships/hyperlink" Target="https://www.criticalmass.com/" TargetMode="External"/><Relationship Id="rId177" Type="http://schemas.openxmlformats.org/officeDocument/2006/relationships/hyperlink" Target="https://www.criticalmass.com/capabilities/technology" TargetMode="External"/><Relationship Id="rId178" Type="http://schemas.openxmlformats.org/officeDocument/2006/relationships/hyperlink" Target="https://www.criticalmass.com/careers" TargetMode="External"/><Relationship Id="rId179" Type="http://schemas.openxmlformats.org/officeDocument/2006/relationships/hyperlink" Target="https://www.criticalmass.com/what-we-think" TargetMode="External"/><Relationship Id="rId180" Type="http://schemas.openxmlformats.org/officeDocument/2006/relationships/hyperlink" Target="https://www.kinandcarta.com/" TargetMode="External"/><Relationship Id="rId181" Type="http://schemas.openxmlformats.org/officeDocument/2006/relationships/hyperlink" Target="https://www.kinandcarta.com/en-us/expertise/ai/" TargetMode="External"/><Relationship Id="rId182" Type="http://schemas.openxmlformats.org/officeDocument/2006/relationships/hyperlink" Target="https://www.kinandcarta.com/en-us/about/our-policies/" TargetMode="External"/><Relationship Id="rId183" Type="http://schemas.openxmlformats.org/officeDocument/2006/relationships/hyperlink" Target="https://www.kinandcarta.com/en-us/careers/" TargetMode="External"/><Relationship Id="rId184" Type="http://schemas.openxmlformats.org/officeDocument/2006/relationships/hyperlink" Target="https://github.com/kinandcarta" TargetMode="External"/><Relationship Id="rId185" Type="http://schemas.openxmlformats.org/officeDocument/2006/relationships/hyperlink" Target="https://www.kinandcarta.com/en-us/insights/" TargetMode="External"/><Relationship Id="rId186" Type="http://schemas.openxmlformats.org/officeDocument/2006/relationships/hyperlink" Target="https://www.techmahindra.com/" TargetMode="External"/><Relationship Id="rId187" Type="http://schemas.openxmlformats.org/officeDocument/2006/relationships/hyperlink" Target="https://www.techmahindra.com/en-in/services/artificial-intelligence/" TargetMode="External"/><Relationship Id="rId188" Type="http://schemas.openxmlformats.org/officeDocument/2006/relationships/hyperlink" Target="https://www.techmahindra.com/en-in/who-we-are/esg/information-security/" TargetMode="External"/><Relationship Id="rId189" Type="http://schemas.openxmlformats.org/officeDocument/2006/relationships/hyperlink" Target="https://careers.techmahindra.com/" TargetMode="External"/><Relationship Id="rId190" Type="http://schemas.openxmlformats.org/officeDocument/2006/relationships/hyperlink" Target="https://www.techmahindra.com/en-in/insights/" TargetMode="External"/><Relationship Id="rId191" Type="http://schemas.openxmlformats.org/officeDocument/2006/relationships/hyperlink" Target="https://www.ltimindtree.com/" TargetMode="External"/><Relationship Id="rId192" Type="http://schemas.openxmlformats.org/officeDocument/2006/relationships/hyperlink" Target="https://www.ltimindtree.com/ai/" TargetMode="External"/><Relationship Id="rId193" Type="http://schemas.openxmlformats.org/officeDocument/2006/relationships/hyperlink" Target="https://www.ltimindtree.com/corporate-governance/information-security/" TargetMode="External"/><Relationship Id="rId194" Type="http://schemas.openxmlformats.org/officeDocument/2006/relationships/hyperlink" Target="https://www.ltimindtree.com/careers/" TargetMode="External"/><Relationship Id="rId195" Type="http://schemas.openxmlformats.org/officeDocument/2006/relationships/hyperlink" Target="https://www.ltimindtree.com/insights/" TargetMode="External"/><Relationship Id="rId196" Type="http://schemas.openxmlformats.org/officeDocument/2006/relationships/hyperlink" Target="https://www.cgi.com/" TargetMode="External"/><Relationship Id="rId197" Type="http://schemas.openxmlformats.org/officeDocument/2006/relationships/hyperlink" Target="https://www.cgi.com/en/services/ai" TargetMode="External"/><Relationship Id="rId198" Type="http://schemas.openxmlformats.org/officeDocument/2006/relationships/hyperlink" Target="https://www.cgi.com/en/quality-and-security" TargetMode="External"/><Relationship Id="rId199" Type="http://schemas.openxmlformats.org/officeDocument/2006/relationships/hyperlink" Target="https://www.cgi.com/en/careers" TargetMode="External"/><Relationship Id="rId200" Type="http://schemas.openxmlformats.org/officeDocument/2006/relationships/hyperlink" Target="https://www.cgi.com/en/insights" TargetMode="External"/><Relationship Id="rId201" Type="http://schemas.openxmlformats.org/officeDocument/2006/relationships/hyperlink" Target="https://www.luxoft.com/" TargetMode="External"/><Relationship Id="rId202" Type="http://schemas.openxmlformats.org/officeDocument/2006/relationships/hyperlink" Target="https://www.luxoft.com/services/ai" TargetMode="External"/><Relationship Id="rId203" Type="http://schemas.openxmlformats.org/officeDocument/2006/relationships/hyperlink" Target="https://www.luxoft.com/company/information-security" TargetMode="External"/><Relationship Id="rId204" Type="http://schemas.openxmlformats.org/officeDocument/2006/relationships/hyperlink" Target="https://career.luxoft.com/" TargetMode="External"/><Relationship Id="rId205" Type="http://schemas.openxmlformats.org/officeDocument/2006/relationships/hyperlink" Target="https://www.luxoft.com/insights" TargetMode="External"/><Relationship Id="rId206" Type="http://schemas.openxmlformats.org/officeDocument/2006/relationships/hyperlink" Target="https://eviden.com/" TargetMode="External"/><Relationship Id="rId207" Type="http://schemas.openxmlformats.org/officeDocument/2006/relationships/hyperlink" Target="https://eviden.com/services/data-ai/" TargetMode="External"/><Relationship Id="rId208" Type="http://schemas.openxmlformats.org/officeDocument/2006/relationships/hyperlink" Target="https://eviden.com/about-us/security-and-compliance/" TargetMode="External"/><Relationship Id="rId209" Type="http://schemas.openxmlformats.org/officeDocument/2006/relationships/hyperlink" Target="https://eviden.com/careers/" TargetMode="External"/><Relationship Id="rId210" Type="http://schemas.openxmlformats.org/officeDocument/2006/relationships/hyperlink" Target="https://eviden.com/resources/" TargetMode="External"/><Relationship Id="rId211" Type="http://schemas.openxmlformats.org/officeDocument/2006/relationships/hyperlink" Target="https://www.fujitsu.com/" TargetMode="External"/><Relationship Id="rId212" Type="http://schemas.openxmlformats.org/officeDocument/2006/relationships/hyperlink" Target="https://www.fujitsu.com/global/solutions/business-technology/artificial-intelligence/" TargetMode="External"/><Relationship Id="rId213" Type="http://schemas.openxmlformats.org/officeDocument/2006/relationships/hyperlink" Target="https://www.fujitsu.com/global/about/corporate/security/" TargetMode="External"/><Relationship Id="rId214" Type="http://schemas.openxmlformats.org/officeDocument/2006/relationships/hyperlink" Target="https://www.fujitsu.com/global/about/careers/" TargetMode="External"/><Relationship Id="rId215" Type="http://schemas.openxmlformats.org/officeDocument/2006/relationships/hyperlink" Target="https://www.fujitsu.com/global/resources/" TargetMode="External"/><Relationship Id="rId216" Type="http://schemas.openxmlformats.org/officeDocument/2006/relationships/hyperlink" Target="https://www.nec.com/" TargetMode="External"/><Relationship Id="rId217" Type="http://schemas.openxmlformats.org/officeDocument/2006/relationships/hyperlink" Target="https://www.nec.com/en/global/solutions/ai/" TargetMode="External"/><Relationship Id="rId218" Type="http://schemas.openxmlformats.org/officeDocument/2006/relationships/hyperlink" Target="https://www.nec.com/en/global/csr/management/security/index.html" TargetMode="External"/><Relationship Id="rId219" Type="http://schemas.openxmlformats.org/officeDocument/2006/relationships/hyperlink" Target="https://www.nec.com/en/global/careers/index.html" TargetMode="External"/><Relationship Id="rId220" Type="http://schemas.openxmlformats.org/officeDocument/2006/relationships/hyperlink" Target="https://www.nec.com/en/global/techrep/" TargetMode="External"/><Relationship Id="rId221" Type="http://schemas.openxmlformats.org/officeDocument/2006/relationships/hyperlink" Target="https://www.hitachivantara.com/" TargetMode="External"/><Relationship Id="rId222" Type="http://schemas.openxmlformats.org/officeDocument/2006/relationships/hyperlink" Target="https://www.hitachivantara.com/en-us/services/ai.html" TargetMode="External"/><Relationship Id="rId223" Type="http://schemas.openxmlformats.org/officeDocument/2006/relationships/hyperlink" Target="https://www.hitachivantara.com/en-us/company/trust-center.html" TargetMode="External"/><Relationship Id="rId224" Type="http://schemas.openxmlformats.org/officeDocument/2006/relationships/hyperlink" Target="https://www.hitachivantara.com/en-us/company/careers.html" TargetMode="External"/><Relationship Id="rId225" Type="http://schemas.openxmlformats.org/officeDocument/2006/relationships/hyperlink" Target="https://www.hitachivantara.com/en-us/insights.html" TargetMode="External"/><Relationship Id="rId226" Type="http://schemas.openxmlformats.org/officeDocument/2006/relationships/hyperlink" Target="https://www.cgi.com/" TargetMode="External"/><Relationship Id="rId227" Type="http://schemas.openxmlformats.org/officeDocument/2006/relationships/hyperlink" Target="https://www.samsungsds.com/" TargetMode="External"/><Relationship Id="rId228" Type="http://schemas.openxmlformats.org/officeDocument/2006/relationships/hyperlink" Target="https://www.samsungsds.com/global/en/solutions/ai/ai.html" TargetMode="External"/><Relationship Id="rId229" Type="http://schemas.openxmlformats.org/officeDocument/2006/relationships/hyperlink" Target="https://www.samsungsds.com/global/en/support/trust/trust.html" TargetMode="External"/><Relationship Id="rId230" Type="http://schemas.openxmlformats.org/officeDocument/2006/relationships/hyperlink" Target="https://www.samsungsds.com/global/en/careers/careers_overview.html" TargetMode="External"/><Relationship Id="rId231" Type="http://schemas.openxmlformats.org/officeDocument/2006/relationships/hyperlink" Target="https://www.samsungsds.com/global/en/insights/all.html" TargetMode="External"/><Relationship Id="rId232" Type="http://schemas.openxmlformats.org/officeDocument/2006/relationships/hyperlink" Target="https://www.lgcns.com/" TargetMode="External"/><Relationship Id="rId233" Type="http://schemas.openxmlformats.org/officeDocument/2006/relationships/hyperlink" Target="https://www.lgcns.com/solution/ai" TargetMode="External"/><Relationship Id="rId234" Type="http://schemas.openxmlformats.org/officeDocument/2006/relationships/hyperlink" Target="https://www.lgcns.com/company/esg/security" TargetMode="External"/><Relationship Id="rId235" Type="http://schemas.openxmlformats.org/officeDocument/2006/relationships/hyperlink" Target="https://www.lgcns.com/career/recruit" TargetMode="External"/><Relationship Id="rId236" Type="http://schemas.openxmlformats.org/officeDocument/2006/relationships/hyperlink" Target="https://blog.lgcns.com/" TargetMode="External"/><Relationship Id="rId237" Type="http://schemas.openxmlformats.org/officeDocument/2006/relationships/hyperlink" Target="https://www.skcc.com/" TargetMode="External"/><Relationship Id="rId238" Type="http://schemas.openxmlformats.org/officeDocument/2006/relationships/hyperlink" Target="https://www.skcc.com/eng/business/ai" TargetMode="External"/><Relationship Id="rId239" Type="http://schemas.openxmlformats.org/officeDocument/2006/relationships/hyperlink" Target="https://www.skcc.com/company/sustainability/infosec" TargetMode="External"/><Relationship Id="rId240" Type="http://schemas.openxmlformats.org/officeDocument/2006/relationships/hyperlink" Target="https://www.skcc.com/careers" TargetMode="External"/><Relationship Id="rId241" Type="http://schemas.openxmlformats.org/officeDocument/2006/relationships/hyperlink" Target="https://www.skcc.com/insight" TargetMode="External"/><Relationship Id="rId242" Type="http://schemas.openxmlformats.org/officeDocument/2006/relationships/hyperlink" Target="https://www.ncs.co/" TargetMode="External"/><Relationship Id="rId243" Type="http://schemas.openxmlformats.org/officeDocument/2006/relationships/hyperlink" Target="https://www.ncs.co/en/solutions/data-analytics-and-ai/" TargetMode="External"/><Relationship Id="rId244" Type="http://schemas.openxmlformats.org/officeDocument/2006/relationships/hyperlink" Target="https://www.ncs.co/en/about-us/trust/" TargetMode="External"/><Relationship Id="rId245" Type="http://schemas.openxmlformats.org/officeDocument/2006/relationships/hyperlink" Target="https://www.ncs.co/en/careers/" TargetMode="External"/><Relationship Id="rId246" Type="http://schemas.openxmlformats.org/officeDocument/2006/relationships/hyperlink" Target="https://www.ncs.co/en/insights/" TargetMode="External"/><Relationship Id="rId247" Type="http://schemas.openxmlformats.org/officeDocument/2006/relationships/hyperlink" Target="https://www.slalom.com/" TargetMode="External"/><Relationship Id="rId248" Type="http://schemas.openxmlformats.org/officeDocument/2006/relationships/hyperlink" Target="https://www.slalom.com/ai" TargetMode="External"/><Relationship Id="rId249" Type="http://schemas.openxmlformats.org/officeDocument/2006/relationships/hyperlink" Target="https://www.slalom.com/careers" TargetMode="External"/><Relationship Id="rId250" Type="http://schemas.openxmlformats.org/officeDocument/2006/relationships/hyperlink" Target="https://www.slalom.com/insights" TargetMode="External"/><Relationship Id="rId251" Type="http://schemas.openxmlformats.org/officeDocument/2006/relationships/hyperlink" Target="https://www.avanade.com/" TargetMode="External"/><Relationship Id="rId252" Type="http://schemas.openxmlformats.org/officeDocument/2006/relationships/hyperlink" Target="https://www.avanade.com/en/services/data-ai" TargetMode="External"/><Relationship Id="rId253" Type="http://schemas.openxmlformats.org/officeDocument/2006/relationships/hyperlink" Target="https://www.avanade.com/en/about-avanade/trust-center" TargetMode="External"/><Relationship Id="rId254" Type="http://schemas.openxmlformats.org/officeDocument/2006/relationships/hyperlink" Target="https://careers.avanade.com/" TargetMode="External"/><Relationship Id="rId255" Type="http://schemas.openxmlformats.org/officeDocument/2006/relationships/hyperlink" Target="https://www.avanade.com/en/insights" TargetMode="External"/><Relationship Id="rId256" Type="http://schemas.openxmlformats.org/officeDocument/2006/relationships/hyperlink" Target="https://www.softserveinc.com/" TargetMode="External"/><Relationship Id="rId257" Type="http://schemas.openxmlformats.org/officeDocument/2006/relationships/hyperlink" Target="https://www.softserveinc.com/en-us/services/ai" TargetMode="External"/><Relationship Id="rId258" Type="http://schemas.openxmlformats.org/officeDocument/2006/relationships/hyperlink" Target="https://www.softserveinc.com/en-us/about/security" TargetMode="External"/><Relationship Id="rId259" Type="http://schemas.openxmlformats.org/officeDocument/2006/relationships/hyperlink" Target="https://career.softserveinc.com/en-us/vacancies" TargetMode="External"/><Relationship Id="rId260" Type="http://schemas.openxmlformats.org/officeDocument/2006/relationships/hyperlink" Target="https://github.com/softserveinc" TargetMode="External"/><Relationship Id="rId261" Type="http://schemas.openxmlformats.org/officeDocument/2006/relationships/hyperlink" Target="https://www.softserveinc.com/en-us/blog" TargetMode="External"/><Relationship Id="rId262" Type="http://schemas.openxmlformats.org/officeDocument/2006/relationships/hyperlink" Target="https://www.ust.com/" TargetMode="External"/><Relationship Id="rId263" Type="http://schemas.openxmlformats.org/officeDocument/2006/relationships/hyperlink" Target="https://www.ust.com/ai" TargetMode="External"/><Relationship Id="rId264" Type="http://schemas.openxmlformats.org/officeDocument/2006/relationships/hyperlink" Target="https://www.ust.com/careers" TargetMode="External"/><Relationship Id="rId265" Type="http://schemas.openxmlformats.org/officeDocument/2006/relationships/hyperlink" Target="https://www.ust.com/insights" TargetMode="External"/><Relationship Id="rId266" Type="http://schemas.openxmlformats.org/officeDocument/2006/relationships/hyperlink" Target="https://www.nagarro.com/" TargetMode="External"/><Relationship Id="rId267" Type="http://schemas.openxmlformats.org/officeDocument/2006/relationships/hyperlink" Target="https://www.nagarro.com/en/services/ai" TargetMode="External"/><Relationship Id="rId268" Type="http://schemas.openxmlformats.org/officeDocument/2006/relationships/hyperlink" Target="https://www.nagarro.com/en/about/quality-information-security" TargetMode="External"/><Relationship Id="rId269" Type="http://schemas.openxmlformats.org/officeDocument/2006/relationships/hyperlink" Target="https://www.nagarro.com/en/careers" TargetMode="External"/><Relationship Id="rId270" Type="http://schemas.openxmlformats.org/officeDocument/2006/relationships/hyperlink" Target="https://www.nagarro.com/en/blog" TargetMode="External"/><Relationship Id="rId271" Type="http://schemas.openxmlformats.org/officeDocument/2006/relationships/hyperlink" Target="https://www.virtusa.com/" TargetMode="External"/><Relationship Id="rId272" Type="http://schemas.openxmlformats.org/officeDocument/2006/relationships/hyperlink" Target="https://www.virtusa.com/services/data-and-analytics/ai-and-ml" TargetMode="External"/><Relationship Id="rId273" Type="http://schemas.openxmlformats.org/officeDocument/2006/relationships/hyperlink" Target="https://www.virtusa.com/company/trust-center" TargetMode="External"/><Relationship Id="rId274" Type="http://schemas.openxmlformats.org/officeDocument/2006/relationships/hyperlink" Target="https://www.virtusa.com/careers" TargetMode="External"/><Relationship Id="rId275" Type="http://schemas.openxmlformats.org/officeDocument/2006/relationships/hyperlink" Target="https://www.virtusa.com/perspectives" TargetMode="External"/><Relationship Id="rId276" Type="http://schemas.openxmlformats.org/officeDocument/2006/relationships/hyperlink" Target="https://www.zensar.com/" TargetMode="External"/><Relationship Id="rId277" Type="http://schemas.openxmlformats.org/officeDocument/2006/relationships/hyperlink" Target="https://www.zensar.com/services/ai-and-automation" TargetMode="External"/><Relationship Id="rId278" Type="http://schemas.openxmlformats.org/officeDocument/2006/relationships/hyperlink" Target="https://www.zensar.com/company/corporate-governance/policies" TargetMode="External"/><Relationship Id="rId279" Type="http://schemas.openxmlformats.org/officeDocument/2006/relationships/hyperlink" Target="https://www.zensar.com/careers" TargetMode="External"/><Relationship Id="rId280" Type="http://schemas.openxmlformats.org/officeDocument/2006/relationships/hyperlink" Target="https://www.zensar.com/insights" TargetMode="External"/><Relationship Id="rId281" Type="http://schemas.openxmlformats.org/officeDocument/2006/relationships/hyperlink" Target="https://www.persistent.com/" TargetMode="External"/><Relationship Id="rId282" Type="http://schemas.openxmlformats.org/officeDocument/2006/relationships/hyperlink" Target="https://www.persistent.com/services/ai-and-data/" TargetMode="External"/><Relationship Id="rId283" Type="http://schemas.openxmlformats.org/officeDocument/2006/relationships/hyperlink" Target="https://www.persistent.com/about/trust-center/" TargetMode="External"/><Relationship Id="rId284" Type="http://schemas.openxmlformats.org/officeDocument/2006/relationships/hyperlink" Target="https://www.persistent.com/careers/" TargetMode="External"/><Relationship Id="rId285" Type="http://schemas.openxmlformats.org/officeDocument/2006/relationships/hyperlink" Target="https://www.persistent.com/insights/" TargetMode="External"/><Relationship Id="rId286" Type="http://schemas.openxmlformats.org/officeDocument/2006/relationships/hyperlink" Target="https://www.soprasteria.com/" TargetMode="External"/><Relationship Id="rId287" Type="http://schemas.openxmlformats.org/officeDocument/2006/relationships/hyperlink" Target="https://www.soprasteria.com/our-offer/artificial-intelligence" TargetMode="External"/><Relationship Id="rId288" Type="http://schemas.openxmlformats.org/officeDocument/2006/relationships/hyperlink" Target="https://www.soprasteria.com/about-us/governance-and-policies" TargetMode="External"/><Relationship Id="rId289" Type="http://schemas.openxmlformats.org/officeDocument/2006/relationships/hyperlink" Target="https://www.soprasteria.com/careers" TargetMode="External"/><Relationship Id="rId290" Type="http://schemas.openxmlformats.org/officeDocument/2006/relationships/hyperlink" Target="https://www.soprasteria.com/newsroom" TargetMode="External"/><Relationship Id="rId291" Type="http://schemas.openxmlformats.org/officeDocument/2006/relationships/hyperlink" Target="https://www.capita.com/" TargetMode="External"/><Relationship Id="rId292" Type="http://schemas.openxmlformats.org/officeDocument/2006/relationships/hyperlink" Target="https://www.capita.com/our-services/digital-transformation" TargetMode="External"/><Relationship Id="rId293" Type="http://schemas.openxmlformats.org/officeDocument/2006/relationships/hyperlink" Target="https://www.capita.com/our-company/governance/risk-and-compliance" TargetMode="External"/><Relationship Id="rId294" Type="http://schemas.openxmlformats.org/officeDocument/2006/relationships/hyperlink" Target="https://www.capita.com/careers" TargetMode="External"/><Relationship Id="rId295" Type="http://schemas.openxmlformats.org/officeDocument/2006/relationships/hyperlink" Target="https://www.capita.com/insights" TargetMode="External"/><Relationship Id="rId296" Type="http://schemas.openxmlformats.org/officeDocument/2006/relationships/hyperlink" Target="https://www.reply.com/" TargetMode="External"/><Relationship Id="rId297" Type="http://schemas.openxmlformats.org/officeDocument/2006/relationships/hyperlink" Target="https://www.reply.com/artificial-intelligence" TargetMode="External"/><Relationship Id="rId298" Type="http://schemas.openxmlformats.org/officeDocument/2006/relationships/hyperlink" Target="https://www.reply.com/en/careers" TargetMode="External"/><Relationship Id="rId299" Type="http://schemas.openxmlformats.org/officeDocument/2006/relationships/hyperlink" Target="https://www.reply.com/en/topics/artificial-intelligence" TargetMode="External"/><Relationship Id="rId300" Type="http://schemas.openxmlformats.org/officeDocument/2006/relationships/hyperlink" Target="https://www.bechtle.com/" TargetMode="External"/><Relationship Id="rId301" Type="http://schemas.openxmlformats.org/officeDocument/2006/relationships/hyperlink" Target="https://www.bechtle.com/de-en/solutions/digitalisation/ai" TargetMode="External"/><Relationship Id="rId302" Type="http://schemas.openxmlformats.org/officeDocument/2006/relationships/hyperlink" Target="https://www.bechtle.com/de-en/career" TargetMode="External"/><Relationship Id="rId303" Type="http://schemas.openxmlformats.org/officeDocument/2006/relationships/hyperlink" Target="https://www.bechtle.com/de-en/about-bechtle/newsroom" TargetMode="External"/><Relationship Id="rId304" Type="http://schemas.openxmlformats.org/officeDocument/2006/relationships/hyperlink" Target="https://www.t-systems.com/" TargetMode="External"/><Relationship Id="rId305" Type="http://schemas.openxmlformats.org/officeDocument/2006/relationships/hyperlink" Target="https://www.t-systems.com/resource/blob/" TargetMode="External"/><Relationship Id="rId306" Type="http://schemas.openxmlformats.org/officeDocument/2006/relationships/hyperlink" Target="https://www.t-systems.com/de/en/about-the-company/compliance" TargetMode="External"/><Relationship Id="rId307" Type="http://schemas.openxmlformats.org/officeDocument/2006/relationships/hyperlink" Target="https://www.t-systems.com/de/en/careers" TargetMode="External"/><Relationship Id="rId308" Type="http://schemas.openxmlformats.org/officeDocument/2006/relationships/hyperlink" Target="https://www.t-systems.com/de/en/newsroom" TargetMode="External"/><Relationship Id="rId309" Type="http://schemas.openxmlformats.org/officeDocument/2006/relationships/hyperlink" Target="https://www.kyndryl.com/" TargetMode="External"/><Relationship Id="rId310" Type="http://schemas.openxmlformats.org/officeDocument/2006/relationships/hyperlink" Target="https://www.kyndryl.com/us/en/services/advisory-and-implementation/data-and-ai" TargetMode="External"/><Relationship Id="rId311" Type="http://schemas.openxmlformats.org/officeDocument/2006/relationships/hyperlink" Target="https://www.kyndryl.com/us/en/about-us/trust-center" TargetMode="External"/><Relationship Id="rId312" Type="http://schemas.openxmlformats.org/officeDocument/2006/relationships/hyperlink" Target="https://www.kyndryl.com/us/en/careers" TargetMode="External"/><Relationship Id="rId313" Type="http://schemas.openxmlformats.org/officeDocument/2006/relationships/hyperlink" Target="https://www.kyndryl.com/us/en/learn" TargetMode="External"/><Relationship Id="rId314" Type="http://schemas.openxmlformats.org/officeDocument/2006/relationships/hyperlink" Target="https://www.hcltech.com/" TargetMode="External"/><Relationship Id="rId315" Type="http://schemas.openxmlformats.org/officeDocument/2006/relationships/hyperlink" Target="https://www.pwc.com/jp/en.html" TargetMode="External"/><Relationship Id="rId316" Type="http://schemas.openxmlformats.org/officeDocument/2006/relationships/hyperlink" Target="https://www.pwc.com/jp/en/services/consulting/analytics-ai.html" TargetMode="External"/><Relationship Id="rId317" Type="http://schemas.openxmlformats.org/officeDocument/2006/relationships/hyperlink" Target="https://www.pwc.com/jp/en/careers.html" TargetMode="External"/><Relationship Id="rId318" Type="http://schemas.openxmlformats.org/officeDocument/2006/relationships/hyperlink" Target="https://www.pwc.com/jp/en/knowledge.html" TargetMode="External"/><Relationship Id="rId319" Type="http://schemas.openxmlformats.org/officeDocument/2006/relationships/hyperlink" Target="https://www.ey.com/ja_jp" TargetMode="External"/><Relationship Id="rId320" Type="http://schemas.openxmlformats.org/officeDocument/2006/relationships/hyperlink" Target="https://www.ey.com/ja_jp/alliances/ai" TargetMode="External"/><Relationship Id="rId321" Type="http://schemas.openxmlformats.org/officeDocument/2006/relationships/hyperlink" Target="https://www.ey.com/ja_jp/careers" TargetMode="External"/><Relationship Id="rId322" Type="http://schemas.openxmlformats.org/officeDocument/2006/relationships/hyperlink" Target="https://www.ey.com/ja_jp/insights" TargetMode="External"/><Relationship Id="rId323" Type="http://schemas.openxmlformats.org/officeDocument/2006/relationships/hyperlink" Target="https://work.co/" TargetMode="External"/><Relationship Id="rId324" Type="http://schemas.openxmlformats.org/officeDocument/2006/relationships/hyperlink" Target="https://work.co/capabilities/technology/" TargetMode="External"/><Relationship Id="rId325" Type="http://schemas.openxmlformats.org/officeDocument/2006/relationships/hyperlink" Target="https://work.co/careers/" TargetMode="External"/><Relationship Id="rId326" Type="http://schemas.openxmlformats.org/officeDocument/2006/relationships/hyperlink" Target="https://work.co/ideas/" TargetMode="External"/><Relationship Id="rId327" Type="http://schemas.openxmlformats.org/officeDocument/2006/relationships/hyperlink" Target="https://www.instrument.com/" TargetMode="External"/><Relationship Id="rId328" Type="http://schemas.openxmlformats.org/officeDocument/2006/relationships/hyperlink" Target="https://www.instrument.com/services/technology" TargetMode="External"/><Relationship Id="rId329" Type="http://schemas.openxmlformats.org/officeDocument/2006/relationships/hyperlink" Target="https://www.instrument.com/careers" TargetMode="External"/><Relationship Id="rId330" Type="http://schemas.openxmlformats.org/officeDocument/2006/relationships/hyperlink" Target="https://www.instrument.com/news" TargetMode="External"/><Relationship Id="rId331" Type="http://schemas.openxmlformats.org/officeDocument/2006/relationships/hyperlink" Target="https://metalab.com/" TargetMode="External"/><Relationship Id="rId332" Type="http://schemas.openxmlformats.org/officeDocument/2006/relationships/hyperlink" Target="https://metalab.com/services/product-design/" TargetMode="External"/><Relationship Id="rId333" Type="http://schemas.openxmlformats.org/officeDocument/2006/relationships/hyperlink" Target="https://metalab.com/careers" TargetMode="External"/><Relationship Id="rId334" Type="http://schemas.openxmlformats.org/officeDocument/2006/relationships/hyperlink" Target="https://metalab.com/ideas" TargetMode="External"/><Relationship Id="rId335" Type="http://schemas.openxmlformats.org/officeDocument/2006/relationships/hyperlink" Target="https://ustwo.com/" TargetMode="External"/><Relationship Id="rId336" Type="http://schemas.openxmlformats.org/officeDocument/2006/relationships/hyperlink" Target="https://ustwo.com/services" TargetMode="External"/><Relationship Id="rId337" Type="http://schemas.openxmlformats.org/officeDocument/2006/relationships/hyperlink" Target="https://ustwo.com/careers" TargetMode="External"/><Relationship Id="rId338" Type="http://schemas.openxmlformats.org/officeDocument/2006/relationships/hyperlink" Target="https://ustwo.com/blog" TargetMode="External"/><Relationship Id="rId339" Type="http://schemas.openxmlformats.org/officeDocument/2006/relationships/hyperlink" Target="https://fantasy.co/" TargetMode="External"/><Relationship Id="rId340" Type="http://schemas.openxmlformats.org/officeDocument/2006/relationships/hyperlink" Target="https://fantasy.co/capabilities" TargetMode="External"/><Relationship Id="rId341" Type="http://schemas.openxmlformats.org/officeDocument/2006/relationships/hyperlink" Target="https://fantasy.co/" TargetMode="External"/><Relationship Id="rId342" Type="http://schemas.openxmlformats.org/officeDocument/2006/relationships/hyperlink" Target="https://fantasy.co/work" TargetMode="External"/><Relationship Id="rId343" Type="http://schemas.openxmlformats.org/officeDocument/2006/relationships/hyperlink" Target="https://clay.global/" TargetMode="External"/><Relationship Id="rId344" Type="http://schemas.openxmlformats.org/officeDocument/2006/relationships/hyperlink" Target="https://clay.global/services" TargetMode="External"/><Relationship Id="rId345" Type="http://schemas.openxmlformats.org/officeDocument/2006/relationships/hyperlink" Target="https://clay.global/careers" TargetMode="External"/><Relationship Id="rId346" Type="http://schemas.openxmlformats.org/officeDocument/2006/relationships/hyperlink" Target="https://clay.global/work" TargetMode="External"/><Relationship Id="rId347" Type="http://schemas.openxmlformats.org/officeDocument/2006/relationships/hyperlink" Target="https://www.ramotion.com/" TargetMode="External"/><Relationship Id="rId348" Type="http://schemas.openxmlformats.org/officeDocument/2006/relationships/hyperlink" Target="https://www.ramotion.com/services/" TargetMode="External"/><Relationship Id="rId349" Type="http://schemas.openxmlformats.org/officeDocument/2006/relationships/hyperlink" Target="https://www.ramotion.com/careers/" TargetMode="External"/><Relationship Id="rId350" Type="http://schemas.openxmlformats.org/officeDocument/2006/relationships/hyperlink" Target="https://www.ramotion.com/blog/" TargetMode="External"/><Relationship Id="rId351" Type="http://schemas.openxmlformats.org/officeDocument/2006/relationships/hyperlink" Target="https://www.strv.com/" TargetMode="External"/><Relationship Id="rId352" Type="http://schemas.openxmlformats.org/officeDocument/2006/relationships/hyperlink" Target="https://www.strv.com/services" TargetMode="External"/><Relationship Id="rId353" Type="http://schemas.openxmlformats.org/officeDocument/2006/relationships/hyperlink" Target="https://www.strv.com/careers" TargetMode="External"/><Relationship Id="rId354" Type="http://schemas.openxmlformats.org/officeDocument/2006/relationships/hyperlink" Target="https://www.strv.com/blog" TargetMode="External"/><Relationship Id="rId355" Type="http://schemas.openxmlformats.org/officeDocument/2006/relationships/hyperlink" Target="https://design.studio/" TargetMode="External"/><Relationship Id="rId356" Type="http://schemas.openxmlformats.org/officeDocument/2006/relationships/hyperlink" Target="https://design.studio/work" TargetMode="External"/><Relationship Id="rId357" Type="http://schemas.openxmlformats.org/officeDocument/2006/relationships/hyperlink" Target="https://design.studio/careers" TargetMode="External"/><Relationship Id="rId358" Type="http://schemas.openxmlformats.org/officeDocument/2006/relationships/hyperlink" Target="https://design.studio/journal" TargetMode="External"/><Relationship Id="rId359" Type="http://schemas.openxmlformats.org/officeDocument/2006/relationships/hyperlink" Target="https://www.movingbrands.com/" TargetMode="External"/><Relationship Id="rId360" Type="http://schemas.openxmlformats.org/officeDocument/2006/relationships/hyperlink" Target="https://www.movingbrands.com/what-we-do" TargetMode="External"/><Relationship Id="rId361" Type="http://schemas.openxmlformats.org/officeDocument/2006/relationships/hyperlink" Target="https://www.movingbrands.com/careers" TargetMode="External"/><Relationship Id="rId362" Type="http://schemas.openxmlformats.org/officeDocument/2006/relationships/hyperlink" Target="https://www.movingbrands.com/work" TargetMode="External"/><Relationship Id="rId363" Type="http://schemas.openxmlformats.org/officeDocument/2006/relationships/hyperlink" Target="https://www.wearecollins.com/" TargetMode="External"/><Relationship Id="rId364" Type="http://schemas.openxmlformats.org/officeDocument/2006/relationships/hyperlink" Target="https://www.wearecollins.com/work/" TargetMode="External"/><Relationship Id="rId365" Type="http://schemas.openxmlformats.org/officeDocument/2006/relationships/hyperlink" Target="https://www.wearecollins.com/careers/" TargetMode="External"/><Relationship Id="rId366" Type="http://schemas.openxmlformats.org/officeDocument/2006/relationships/hyperlink" Target="https://www.wearecollins.com/things/" TargetMode="External"/><Relationship Id="rId367" Type="http://schemas.openxmlformats.org/officeDocument/2006/relationships/hyperlink" Target="https://www.wolffolins.com/" TargetMode="External"/><Relationship Id="rId368" Type="http://schemas.openxmlformats.org/officeDocument/2006/relationships/hyperlink" Target="https://www.wolffolins.com/services/" TargetMode="External"/><Relationship Id="rId369" Type="http://schemas.openxmlformats.org/officeDocument/2006/relationships/hyperlink" Target="https://www.wolffolins.com/careers/" TargetMode="External"/><Relationship Id="rId370" Type="http://schemas.openxmlformats.org/officeDocument/2006/relationships/hyperlink" Target="https://www.wolffolins.com/our-thinking/" TargetMode="External"/><Relationship Id="rId371" Type="http://schemas.openxmlformats.org/officeDocument/2006/relationships/hyperlink" Target="https://landor.com/" TargetMode="External"/><Relationship Id="rId372" Type="http://schemas.openxmlformats.org/officeDocument/2006/relationships/hyperlink" Target="https://landor.com/our-services" TargetMode="External"/><Relationship Id="rId373" Type="http://schemas.openxmlformats.org/officeDocument/2006/relationships/hyperlink" Target="https://landor.com/join-us" TargetMode="External"/><Relationship Id="rId374" Type="http://schemas.openxmlformats.org/officeDocument/2006/relationships/hyperlink" Target="https://landor.com/our-thinking" TargetMode="External"/><Relationship Id="rId375" Type="http://schemas.openxmlformats.org/officeDocument/2006/relationships/hyperlink" Target="https://saffron-consultants.com/" TargetMode="External"/><Relationship Id="rId376" Type="http://schemas.openxmlformats.org/officeDocument/2006/relationships/hyperlink" Target="https://saffron-consultants.com/expertise/" TargetMode="External"/><Relationship Id="rId377" Type="http://schemas.openxmlformats.org/officeDocument/2006/relationships/hyperlink" Target="https://saffron-consultants.com/careers/" TargetMode="External"/><Relationship Id="rId378" Type="http://schemas.openxmlformats.org/officeDocument/2006/relationships/hyperlink" Target="https://saffron-consultants.com/insights/" TargetMode="External"/><Relationship Id="rId379" Type="http://schemas.openxmlformats.org/officeDocument/2006/relationships/hyperlink" Target="https://www.superunion.com/" TargetMode="External"/><Relationship Id="rId380" Type="http://schemas.openxmlformats.org/officeDocument/2006/relationships/hyperlink" Target="https://www.superunion.com/work" TargetMode="External"/><Relationship Id="rId381" Type="http://schemas.openxmlformats.org/officeDocument/2006/relationships/hyperlink" Target="https://www.superunion.com/careers" TargetMode="External"/><Relationship Id="rId382" Type="http://schemas.openxmlformats.org/officeDocument/2006/relationships/hyperlink" Target="https://www.superunion.com/ideas" TargetMode="External"/><Relationship Id="rId383" Type="http://schemas.openxmlformats.org/officeDocument/2006/relationships/hyperlink" Target="https://koto.studio/" TargetMode="External"/><Relationship Id="rId384" Type="http://schemas.openxmlformats.org/officeDocument/2006/relationships/hyperlink" Target="https://koto.studio/work/" TargetMode="External"/><Relationship Id="rId385" Type="http://schemas.openxmlformats.org/officeDocument/2006/relationships/hyperlink" Target="https://koto.studio/jobs/" TargetMode="External"/><Relationship Id="rId386" Type="http://schemas.openxmlformats.org/officeDocument/2006/relationships/hyperlink" Target="https://koto.studio/stories/" TargetMode="External"/><Relationship Id="rId387" Type="http://schemas.openxmlformats.org/officeDocument/2006/relationships/hyperlink" Target="https://raggededge.com/" TargetMode="External"/><Relationship Id="rId388" Type="http://schemas.openxmlformats.org/officeDocument/2006/relationships/hyperlink" Target="https://raggededge.com/work/" TargetMode="External"/><Relationship Id="rId389" Type="http://schemas.openxmlformats.org/officeDocument/2006/relationships/hyperlink" Target="https://raggededge.com/careers/" TargetMode="External"/><Relationship Id="rId390" Type="http://schemas.openxmlformats.org/officeDocument/2006/relationships/hyperlink" Target="https://raggededge.com/journal/" TargetMode="External"/><Relationship Id="rId391" Type="http://schemas.openxmlformats.org/officeDocument/2006/relationships/hyperlink" Target="https://www.mucho.co/" TargetMode="External"/><Relationship Id="rId392" Type="http://schemas.openxmlformats.org/officeDocument/2006/relationships/hyperlink" Target="https://www.mucho.co/projects" TargetMode="External"/><Relationship Id="rId393" Type="http://schemas.openxmlformats.org/officeDocument/2006/relationships/hyperlink" Target="https://www.mucho.co/contact" TargetMode="External"/><Relationship Id="rId394" Type="http://schemas.openxmlformats.org/officeDocument/2006/relationships/hyperlink" Target="https://www.mucho.co/news" TargetMode="External"/><Relationship Id="rId395" Type="http://schemas.openxmlformats.org/officeDocument/2006/relationships/hyperlink" Target="https://www.eightshapes.com/" TargetMode="External"/><Relationship Id="rId396" Type="http://schemas.openxmlformats.org/officeDocument/2006/relationships/hyperlink" Target="https://www.eightshapes.com/services/" TargetMode="External"/><Relationship Id="rId397" Type="http://schemas.openxmlformats.org/officeDocument/2006/relationships/hyperlink" Target="https://www.eightshapes.com/" TargetMode="External"/><Relationship Id="rId398" Type="http://schemas.openxmlformats.org/officeDocument/2006/relationships/hyperlink" Target="https://www.eightshapes.com/articles/" TargetMode="External"/><Relationship Id="rId399" Type="http://schemas.openxmlformats.org/officeDocument/2006/relationships/hyperlink" Target="https://www.eightshapes.com/books/" TargetMode="External"/><Relationship Id="rId400" Type="http://schemas.openxmlformats.org/officeDocument/2006/relationships/hyperlink" Target="https://zurb.com/" TargetMode="External"/><Relationship Id="rId401" Type="http://schemas.openxmlformats.org/officeDocument/2006/relationships/hyperlink" Target="https://zurb.com/services" TargetMode="External"/><Relationship Id="rId402" Type="http://schemas.openxmlformats.org/officeDocument/2006/relationships/hyperlink" Target="https://zurb.com/jobs" TargetMode="External"/><Relationship Id="rId403" Type="http://schemas.openxmlformats.org/officeDocument/2006/relationships/hyperlink" Target="https://github.com/foundation" TargetMode="External"/><Relationship Id="rId404" Type="http://schemas.openxmlformats.org/officeDocument/2006/relationships/hyperlink" Target="https://zurb.com/blog" TargetMode="External"/><Relationship Id="rId405" Type="http://schemas.openxmlformats.org/officeDocument/2006/relationships/hyperlink" Target="https://www.ideo.com/" TargetMode="External"/><Relationship Id="rId406" Type="http://schemas.openxmlformats.org/officeDocument/2006/relationships/hyperlink" Target="https://www.doberman.co/" TargetMode="External"/><Relationship Id="rId407" Type="http://schemas.openxmlformats.org/officeDocument/2006/relationships/hyperlink" Target="https://www.doberman.co/work" TargetMode="External"/><Relationship Id="rId408" Type="http://schemas.openxmlformats.org/officeDocument/2006/relationships/hyperlink" Target="https://www.doberman.co/careers" TargetMode="External"/><Relationship Id="rId409" Type="http://schemas.openxmlformats.org/officeDocument/2006/relationships/hyperlink" Target="https://www.doberman.co/stories" TargetMode="External"/><Relationship Id="rId410" Type="http://schemas.openxmlformats.org/officeDocument/2006/relationships/hyperlink" Target="https://www.frog.co/" TargetMode="External"/><Relationship Id="rId411" Type="http://schemas.openxmlformats.org/officeDocument/2006/relationships/hyperlink" Target="https://www.frog.co/capabilities" TargetMode="External"/><Relationship Id="rId412" Type="http://schemas.openxmlformats.org/officeDocument/2006/relationships/hyperlink" Target="https://www.frog.co/careers" TargetMode="External"/><Relationship Id="rId413" Type="http://schemas.openxmlformats.org/officeDocument/2006/relationships/hyperlink" Target="https://www.frog.co/designmind" TargetMode="External"/><Relationship Id="rId414" Type="http://schemas.openxmlformats.org/officeDocument/2006/relationships/hyperlink" Target="https://www.bcgdv.com/" TargetMode="External"/><Relationship Id="rId415" Type="http://schemas.openxmlformats.org/officeDocument/2006/relationships/hyperlink" Target="https://www.bcgdv.com/" TargetMode="External"/><Relationship Id="rId416" Type="http://schemas.openxmlformats.org/officeDocument/2006/relationships/hyperlink" Target="https://www.bcgdv.com/careers/" TargetMode="External"/><Relationship Id="rId417" Type="http://schemas.openxmlformats.org/officeDocument/2006/relationships/hyperlink" Target="https://www.bcgdv.com/insights/" TargetMode="External"/><Relationship Id="rId418" Type="http://schemas.openxmlformats.org/officeDocument/2006/relationships/hyperlink" Target="https://www.palo-it.com/" TargetMode="External"/><Relationship Id="rId419" Type="http://schemas.openxmlformats.org/officeDocument/2006/relationships/hyperlink" Target="https://www.palo-it.com/services" TargetMode="External"/><Relationship Id="rId420" Type="http://schemas.openxmlformats.org/officeDocument/2006/relationships/hyperlink" Target="https://www.palo-it.com/careers" TargetMode="External"/><Relationship Id="rId421" Type="http://schemas.openxmlformats.org/officeDocument/2006/relationships/hyperlink" Target="https://www.palo-it.com/insights" TargetMode="External"/><Relationship Id="rId422" Type="http://schemas.openxmlformats.org/officeDocument/2006/relationships/hyperlink" Target="https://www.netguru.com/" TargetMode="External"/><Relationship Id="rId423" Type="http://schemas.openxmlformats.org/officeDocument/2006/relationships/hyperlink" Target="https://www.netguru.com/services/artificial-intelligence" TargetMode="External"/><Relationship Id="rId424" Type="http://schemas.openxmlformats.org/officeDocument/2006/relationships/hyperlink" Target="https://www.netguru.com/career" TargetMode="External"/><Relationship Id="rId425" Type="http://schemas.openxmlformats.org/officeDocument/2006/relationships/hyperlink" Target="https://github.com/netguru" TargetMode="External"/><Relationship Id="rId426" Type="http://schemas.openxmlformats.org/officeDocument/2006/relationships/hyperlink" Target="https://www.netguru.com/blog" TargetMode="External"/><Relationship Id="rId427" Type="http://schemas.openxmlformats.org/officeDocument/2006/relationships/hyperlink" Target="https://eleks.com/" TargetMode="External"/><Relationship Id="rId428" Type="http://schemas.openxmlformats.org/officeDocument/2006/relationships/hyperlink" Target="https://eleks.com/services/data-science/" TargetMode="External"/><Relationship Id="rId429" Type="http://schemas.openxmlformats.org/officeDocument/2006/relationships/hyperlink" Target="https://careers.eleks.com/" TargetMode="External"/><Relationship Id="rId430" Type="http://schemas.openxmlformats.org/officeDocument/2006/relationships/hyperlink" Target="https://eleks.com/blog/" TargetMode="External"/><Relationship Id="rId431" Type="http://schemas.openxmlformats.org/officeDocument/2006/relationships/hyperlink" Target="https://andersenlab.com/" TargetMode="External"/><Relationship Id="rId432" Type="http://schemas.openxmlformats.org/officeDocument/2006/relationships/hyperlink" Target="https://andersenlab.com/services/machine-learning-ai" TargetMode="External"/><Relationship Id="rId433" Type="http://schemas.openxmlformats.org/officeDocument/2006/relationships/hyperlink" Target="https://andersenlab.com/careers" TargetMode="External"/><Relationship Id="rId434" Type="http://schemas.openxmlformats.org/officeDocument/2006/relationships/hyperlink" Target="https://andersenlab.com/insights" TargetMode="External"/><Relationship Id="rId435" Type="http://schemas.openxmlformats.org/officeDocument/2006/relationships/hyperlink" Target="https://www.bairesdev.com/" TargetMode="External"/><Relationship Id="rId436" Type="http://schemas.openxmlformats.org/officeDocument/2006/relationships/hyperlink" Target="https://www.bairesdev.com/services/ai/" TargetMode="External"/><Relationship Id="rId437" Type="http://schemas.openxmlformats.org/officeDocument/2006/relationships/hyperlink" Target="https://www.bairesdev.com/careers/" TargetMode="External"/><Relationship Id="rId438" Type="http://schemas.openxmlformats.org/officeDocument/2006/relationships/hyperlink" Target="https://www.bairesdev.com/blog/" TargetMode="External"/><Relationship Id="rId439" Type="http://schemas.openxmlformats.org/officeDocument/2006/relationships/hyperlink" Target="https://thoughtbot.com/" TargetMode="External"/><Relationship Id="rId440" Type="http://schemas.openxmlformats.org/officeDocument/2006/relationships/hyperlink" Target="https://thoughtbot.com/services" TargetMode="External"/><Relationship Id="rId441" Type="http://schemas.openxmlformats.org/officeDocument/2006/relationships/hyperlink" Target="https://thoughtbot.com/jobs" TargetMode="External"/><Relationship Id="rId442" Type="http://schemas.openxmlformats.org/officeDocument/2006/relationships/hyperlink" Target="https://github.com/thoughtbot" TargetMode="External"/><Relationship Id="rId443" Type="http://schemas.openxmlformats.org/officeDocument/2006/relationships/hyperlink" Target="https://thoughtbot.com/bl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101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 s="2" t="s">
        <v>156</v>
      </c>
      <c r="C2" t="s">
        <v>252</v>
      </c>
      <c r="D2">
        <v>1989</v>
      </c>
      <c r="E2">
        <v>200</v>
      </c>
      <c r="F2" t="s">
        <v>262</v>
      </c>
      <c r="G2">
        <v>0.35</v>
      </c>
      <c r="H2">
        <v>0.25</v>
      </c>
      <c r="I2" t="s">
        <v>269</v>
      </c>
      <c r="J2" t="s">
        <v>273</v>
      </c>
      <c r="K2" t="s">
        <v>276</v>
      </c>
      <c r="L2" t="s">
        <v>276</v>
      </c>
      <c r="M2" t="s">
        <v>278</v>
      </c>
      <c r="N2" t="s">
        <v>276</v>
      </c>
      <c r="O2">
        <v>80</v>
      </c>
      <c r="P2">
        <v>120</v>
      </c>
      <c r="Q2" t="s">
        <v>280</v>
      </c>
      <c r="R2">
        <v>4</v>
      </c>
      <c r="S2" t="s">
        <v>288</v>
      </c>
      <c r="T2">
        <v>5</v>
      </c>
      <c r="U2" t="s">
        <v>292</v>
      </c>
      <c r="V2">
        <v>120</v>
      </c>
      <c r="W2" t="s">
        <v>295</v>
      </c>
      <c r="X2" t="s">
        <v>297</v>
      </c>
      <c r="Y2" t="s">
        <v>299</v>
      </c>
      <c r="Z2" t="s">
        <v>303</v>
      </c>
      <c r="AA2" t="s">
        <v>306</v>
      </c>
      <c r="AB2">
        <f>VALUE(R2)*6</f>
        <v>0</v>
      </c>
      <c r="AC2">
        <f>IFERROR(VLOOKUP(K2,PointsMap!D2:E3,2,0),0)</f>
        <v>0</v>
      </c>
      <c r="AD2">
        <f>IFERROR(VLOOKUP(M2,PointsMap!G2:H5,2,0),0)</f>
        <v>0</v>
      </c>
      <c r="AE2">
        <f>IFERROR(VLOOKUP(AA2,PointsMap!M2:N5,2,0),0)</f>
        <v>0</v>
      </c>
      <c r="AF2">
        <f>IFERROR(VLOOKUP(Z2,PointsMap!J2:K5,2,0),0)</f>
        <v>0</v>
      </c>
      <c r="AG2">
        <f>MIN(8,VALUE(T2)*2)</f>
        <v>0</v>
      </c>
      <c r="AH2">
        <f>IFERROR(VLOOKUP(Q2,PointsMap!P2:Q5,2,0),0)</f>
        <v>0</v>
      </c>
      <c r="AI2">
        <f>MIN(8,ROUND(VALUE(G2)*8,0))</f>
        <v>0</v>
      </c>
      <c r="AJ2">
        <f>IFERROR(VLOOKUP(I2,PointsMap!A2:B5,2,0),0)</f>
        <v>0</v>
      </c>
      <c r="AK2">
        <f>IFERROR(VLOOKUP(W2,PointsMap!S2:T4,2,0),0)</f>
        <v>0</v>
      </c>
      <c r="AL2">
        <f>IFERROR(VLOOKUP(X2,PointsMap!V2:W4,2,0),0)</f>
        <v>0</v>
      </c>
      <c r="AM2">
        <f>MIN(5,VALUE(V2))</f>
        <v>0</v>
      </c>
      <c r="AN2">
        <f>AB2</f>
        <v>0</v>
      </c>
      <c r="AO2">
        <f>AC2+AD2+AE2+AF2</f>
        <v>0</v>
      </c>
      <c r="AP2">
        <f>AG2+AH2</f>
        <v>0</v>
      </c>
      <c r="AQ2">
        <f>AI2+AJ2</f>
        <v>0</v>
      </c>
      <c r="AR2">
        <f>AK2+AL2+AM2</f>
        <v>0</v>
      </c>
      <c r="AS2">
        <f>AN2*Weights!B3/100+AO2*Weights!B4/100+AP2*Weights!B5/100+AQ2*Weights!B6/100+AR2*Weights!B7/100</f>
        <v>0</v>
      </c>
    </row>
    <row r="3" spans="1:56">
      <c r="A3" t="s">
        <v>57</v>
      </c>
      <c r="B3" s="2" t="s">
        <v>157</v>
      </c>
      <c r="C3" t="s">
        <v>253</v>
      </c>
      <c r="D3">
        <v>1845</v>
      </c>
      <c r="E3">
        <v>150</v>
      </c>
      <c r="F3" t="s">
        <v>262</v>
      </c>
      <c r="G3">
        <v>0.3</v>
      </c>
      <c r="H3">
        <v>0.3</v>
      </c>
      <c r="I3" t="s">
        <v>270</v>
      </c>
      <c r="J3" t="s">
        <v>273</v>
      </c>
      <c r="K3" t="s">
        <v>276</v>
      </c>
      <c r="L3" t="s">
        <v>276</v>
      </c>
      <c r="M3" t="s">
        <v>278</v>
      </c>
      <c r="N3" t="s">
        <v>276</v>
      </c>
      <c r="O3">
        <v>60</v>
      </c>
      <c r="P3">
        <v>90</v>
      </c>
      <c r="Q3" t="s">
        <v>280</v>
      </c>
      <c r="R3">
        <v>4</v>
      </c>
      <c r="S3" t="s">
        <v>287</v>
      </c>
      <c r="T3">
        <v>4</v>
      </c>
      <c r="U3" t="s">
        <v>291</v>
      </c>
      <c r="V3">
        <v>90</v>
      </c>
      <c r="W3" t="s">
        <v>295</v>
      </c>
      <c r="X3" t="s">
        <v>297</v>
      </c>
      <c r="Y3" t="s">
        <v>299</v>
      </c>
      <c r="Z3" t="s">
        <v>302</v>
      </c>
      <c r="AA3" t="s">
        <v>305</v>
      </c>
      <c r="AB3">
        <f>VALUE(R3)*6</f>
        <v>0</v>
      </c>
      <c r="AC3">
        <f>IFERROR(VLOOKUP(K3,PointsMap!D2:E3,2,0),0)</f>
        <v>0</v>
      </c>
      <c r="AD3">
        <f>IFERROR(VLOOKUP(M3,PointsMap!G2:H5,2,0),0)</f>
        <v>0</v>
      </c>
      <c r="AE3">
        <f>IFERROR(VLOOKUP(AA3,PointsMap!M2:N5,2,0),0)</f>
        <v>0</v>
      </c>
      <c r="AF3">
        <f>IFERROR(VLOOKUP(Z3,PointsMap!J2:K5,2,0),0)</f>
        <v>0</v>
      </c>
      <c r="AG3">
        <f>MIN(8,VALUE(T3)*2)</f>
        <v>0</v>
      </c>
      <c r="AH3">
        <f>IFERROR(VLOOKUP(Q3,PointsMap!P2:Q5,2,0),0)</f>
        <v>0</v>
      </c>
      <c r="AI3">
        <f>MIN(8,ROUND(VALUE(G3)*8,0))</f>
        <v>0</v>
      </c>
      <c r="AJ3">
        <f>IFERROR(VLOOKUP(I3,PointsMap!A2:B5,2,0),0)</f>
        <v>0</v>
      </c>
      <c r="AK3">
        <f>IFERROR(VLOOKUP(W3,PointsMap!S2:T4,2,0),0)</f>
        <v>0</v>
      </c>
      <c r="AL3">
        <f>IFERROR(VLOOKUP(X3,PointsMap!V2:W4,2,0),0)</f>
        <v>0</v>
      </c>
      <c r="AM3">
        <f>MIN(5,VALUE(V3))</f>
        <v>0</v>
      </c>
      <c r="AN3">
        <f>AB3</f>
        <v>0</v>
      </c>
      <c r="AO3">
        <f>AC3+AD3+AE3+AF3</f>
        <v>0</v>
      </c>
      <c r="AP3">
        <f>AG3+AH3</f>
        <v>0</v>
      </c>
      <c r="AQ3">
        <f>AI3+AJ3</f>
        <v>0</v>
      </c>
      <c r="AR3">
        <f>AK3+AL3+AM3</f>
        <v>0</v>
      </c>
      <c r="AS3">
        <f>AN3*Weights!B3/100+AO3*Weights!B4/100+AP3*Weights!B5/100+AQ3*Weights!B6/100+AR3*Weights!B7/100</f>
        <v>0</v>
      </c>
      <c r="AT3" s="2" t="s">
        <v>308</v>
      </c>
      <c r="AV3" s="2" t="s">
        <v>421</v>
      </c>
      <c r="AY3" s="2" t="s">
        <v>432</v>
      </c>
      <c r="AZ3" s="2" t="s">
        <v>522</v>
      </c>
      <c r="BA3" s="2" t="s">
        <v>527</v>
      </c>
      <c r="BB3" s="2" t="s">
        <v>548</v>
      </c>
      <c r="BD3" t="s">
        <v>641</v>
      </c>
    </row>
    <row r="4" spans="1:56">
      <c r="A4" t="s">
        <v>58</v>
      </c>
      <c r="B4" s="2" t="s">
        <v>158</v>
      </c>
      <c r="C4" t="s">
        <v>252</v>
      </c>
      <c r="D4">
        <v>1911</v>
      </c>
      <c r="E4">
        <v>80</v>
      </c>
      <c r="F4" t="s">
        <v>262</v>
      </c>
      <c r="G4">
        <v>0.25</v>
      </c>
      <c r="H4">
        <v>0.45</v>
      </c>
      <c r="I4" t="s">
        <v>270</v>
      </c>
      <c r="J4" t="s">
        <v>273</v>
      </c>
      <c r="K4" t="s">
        <v>276</v>
      </c>
      <c r="L4" t="s">
        <v>276</v>
      </c>
      <c r="M4" t="s">
        <v>278</v>
      </c>
      <c r="N4" t="s">
        <v>276</v>
      </c>
      <c r="O4">
        <v>40</v>
      </c>
      <c r="P4">
        <v>150</v>
      </c>
      <c r="Q4" t="s">
        <v>280</v>
      </c>
      <c r="R4">
        <v>4</v>
      </c>
      <c r="S4" t="s">
        <v>288</v>
      </c>
      <c r="T4">
        <v>5</v>
      </c>
      <c r="U4" t="s">
        <v>293</v>
      </c>
      <c r="V4">
        <v>500</v>
      </c>
      <c r="W4" t="s">
        <v>296</v>
      </c>
      <c r="X4" t="s">
        <v>297</v>
      </c>
      <c r="Y4" t="s">
        <v>300</v>
      </c>
      <c r="Z4" t="s">
        <v>303</v>
      </c>
      <c r="AA4" t="s">
        <v>306</v>
      </c>
      <c r="AB4">
        <f>VALUE(R4)*6</f>
        <v>0</v>
      </c>
      <c r="AC4">
        <f>IFERROR(VLOOKUP(K4,PointsMap!D2:E3,2,0),0)</f>
        <v>0</v>
      </c>
      <c r="AD4">
        <f>IFERROR(VLOOKUP(M4,PointsMap!G2:H5,2,0),0)</f>
        <v>0</v>
      </c>
      <c r="AE4">
        <f>IFERROR(VLOOKUP(AA4,PointsMap!M2:N5,2,0),0)</f>
        <v>0</v>
      </c>
      <c r="AF4">
        <f>IFERROR(VLOOKUP(Z4,PointsMap!J2:K5,2,0),0)</f>
        <v>0</v>
      </c>
      <c r="AG4">
        <f>MIN(8,VALUE(T4)*2)</f>
        <v>0</v>
      </c>
      <c r="AH4">
        <f>IFERROR(VLOOKUP(Q4,PointsMap!P2:Q5,2,0),0)</f>
        <v>0</v>
      </c>
      <c r="AI4">
        <f>MIN(8,ROUND(VALUE(G4)*8,0))</f>
        <v>0</v>
      </c>
      <c r="AJ4">
        <f>IFERROR(VLOOKUP(I4,PointsMap!A2:B5,2,0),0)</f>
        <v>0</v>
      </c>
      <c r="AK4">
        <f>IFERROR(VLOOKUP(W4,PointsMap!S2:T4,2,0),0)</f>
        <v>0</v>
      </c>
      <c r="AL4">
        <f>IFERROR(VLOOKUP(X4,PointsMap!V2:W4,2,0),0)</f>
        <v>0</v>
      </c>
      <c r="AM4">
        <f>MIN(5,VALUE(V4))</f>
        <v>0</v>
      </c>
      <c r="AN4">
        <f>AB4</f>
        <v>0</v>
      </c>
      <c r="AO4">
        <f>AC4+AD4+AE4+AF4</f>
        <v>0</v>
      </c>
      <c r="AP4">
        <f>AG4+AH4</f>
        <v>0</v>
      </c>
      <c r="AQ4">
        <f>AI4+AJ4</f>
        <v>0</v>
      </c>
      <c r="AR4">
        <f>AK4+AL4+AM4</f>
        <v>0</v>
      </c>
      <c r="AS4">
        <f>AN4*Weights!B3/100+AO4*Weights!B4/100+AP4*Weights!B5/100+AQ4*Weights!B6/100+AR4*Weights!B7/100</f>
        <v>0</v>
      </c>
      <c r="AT4" s="2" t="s">
        <v>309</v>
      </c>
      <c r="AW4" s="2" t="s">
        <v>424</v>
      </c>
      <c r="AY4" s="2" t="s">
        <v>433</v>
      </c>
      <c r="AZ4" s="2" t="s">
        <v>523</v>
      </c>
      <c r="BA4" s="2" t="s">
        <v>528</v>
      </c>
      <c r="BB4" s="2" t="s">
        <v>549</v>
      </c>
      <c r="BC4" s="2" t="s">
        <v>639</v>
      </c>
      <c r="BD4" t="s">
        <v>642</v>
      </c>
    </row>
    <row r="5" spans="1:56">
      <c r="A5" t="s">
        <v>59</v>
      </c>
      <c r="B5" s="2" t="s">
        <v>159</v>
      </c>
      <c r="C5" t="s">
        <v>254</v>
      </c>
      <c r="D5">
        <v>1990</v>
      </c>
      <c r="E5">
        <v>50</v>
      </c>
      <c r="F5" t="s">
        <v>263</v>
      </c>
      <c r="G5">
        <v>0.4</v>
      </c>
      <c r="H5">
        <v>0.35</v>
      </c>
      <c r="I5" t="s">
        <v>269</v>
      </c>
      <c r="J5" t="s">
        <v>274</v>
      </c>
      <c r="K5" t="s">
        <v>276</v>
      </c>
      <c r="L5" t="s">
        <v>276</v>
      </c>
      <c r="M5" t="s">
        <v>278</v>
      </c>
      <c r="N5" t="s">
        <v>276</v>
      </c>
      <c r="O5">
        <v>35</v>
      </c>
      <c r="P5">
        <v>70</v>
      </c>
      <c r="Q5" t="s">
        <v>281</v>
      </c>
      <c r="R5">
        <v>3</v>
      </c>
      <c r="S5" t="s">
        <v>287</v>
      </c>
      <c r="T5">
        <v>4</v>
      </c>
      <c r="U5" t="s">
        <v>292</v>
      </c>
      <c r="V5">
        <v>60</v>
      </c>
      <c r="W5" t="s">
        <v>295</v>
      </c>
      <c r="X5" t="s">
        <v>297</v>
      </c>
      <c r="Y5" t="s">
        <v>299</v>
      </c>
      <c r="Z5" t="s">
        <v>302</v>
      </c>
      <c r="AA5" t="s">
        <v>305</v>
      </c>
      <c r="AB5">
        <f>VALUE(R5)*6</f>
        <v>0</v>
      </c>
      <c r="AC5">
        <f>IFERROR(VLOOKUP(K5,PointsMap!D2:E3,2,0),0)</f>
        <v>0</v>
      </c>
      <c r="AD5">
        <f>IFERROR(VLOOKUP(M5,PointsMap!G2:H5,2,0),0)</f>
        <v>0</v>
      </c>
      <c r="AE5">
        <f>IFERROR(VLOOKUP(AA5,PointsMap!M2:N5,2,0),0)</f>
        <v>0</v>
      </c>
      <c r="AF5">
        <f>IFERROR(VLOOKUP(Z5,PointsMap!J2:K5,2,0),0)</f>
        <v>0</v>
      </c>
      <c r="AG5">
        <f>MIN(8,VALUE(T5)*2)</f>
        <v>0</v>
      </c>
      <c r="AH5">
        <f>IFERROR(VLOOKUP(Q5,PointsMap!P2:Q5,2,0),0)</f>
        <v>0</v>
      </c>
      <c r="AI5">
        <f>MIN(8,ROUND(VALUE(G5)*8,0))</f>
        <v>0</v>
      </c>
      <c r="AJ5">
        <f>IFERROR(VLOOKUP(I5,PointsMap!A2:B5,2,0),0)</f>
        <v>0</v>
      </c>
      <c r="AK5">
        <f>IFERROR(VLOOKUP(W5,PointsMap!S2:T4,2,0),0)</f>
        <v>0</v>
      </c>
      <c r="AL5">
        <f>IFERROR(VLOOKUP(X5,PointsMap!V2:W4,2,0),0)</f>
        <v>0</v>
      </c>
      <c r="AM5">
        <f>MIN(5,VALUE(V5))</f>
        <v>0</v>
      </c>
      <c r="AN5">
        <f>AB5</f>
        <v>0</v>
      </c>
      <c r="AO5">
        <f>AC5+AD5+AE5+AF5</f>
        <v>0</v>
      </c>
      <c r="AP5">
        <f>AG5+AH5</f>
        <v>0</v>
      </c>
      <c r="AQ5">
        <f>AI5+AJ5</f>
        <v>0</v>
      </c>
      <c r="AR5">
        <f>AK5+AL5+AM5</f>
        <v>0</v>
      </c>
      <c r="AS5">
        <f>AN5*Weights!B3/100+AO5*Weights!B4/100+AP5*Weights!B5/100+AQ5*Weights!B6/100+AR5*Weights!B7/100</f>
        <v>0</v>
      </c>
      <c r="AT5" s="2" t="s">
        <v>310</v>
      </c>
      <c r="AW5" s="2" t="s">
        <v>159</v>
      </c>
      <c r="AY5" s="2" t="s">
        <v>434</v>
      </c>
      <c r="AZ5" s="2" t="s">
        <v>524</v>
      </c>
      <c r="BA5" s="2" t="s">
        <v>529</v>
      </c>
      <c r="BB5" s="2" t="s">
        <v>550</v>
      </c>
      <c r="BD5" t="s">
        <v>643</v>
      </c>
    </row>
    <row r="6" spans="1:56">
      <c r="A6" t="s">
        <v>60</v>
      </c>
      <c r="B6" s="2" t="s">
        <v>160</v>
      </c>
      <c r="C6" t="s">
        <v>254</v>
      </c>
      <c r="D6">
        <v>1967</v>
      </c>
      <c r="E6">
        <v>70</v>
      </c>
      <c r="F6" t="s">
        <v>263</v>
      </c>
      <c r="G6">
        <v>0.45</v>
      </c>
      <c r="H6">
        <v>0.25</v>
      </c>
      <c r="I6" t="s">
        <v>270</v>
      </c>
      <c r="J6" t="s">
        <v>274</v>
      </c>
      <c r="K6" t="s">
        <v>276</v>
      </c>
      <c r="L6" t="s">
        <v>276</v>
      </c>
      <c r="M6" t="s">
        <v>278</v>
      </c>
      <c r="N6" t="s">
        <v>276</v>
      </c>
      <c r="O6">
        <v>50</v>
      </c>
      <c r="P6">
        <v>60</v>
      </c>
      <c r="Q6" t="s">
        <v>281</v>
      </c>
      <c r="R6">
        <v>3</v>
      </c>
      <c r="S6" t="s">
        <v>289</v>
      </c>
      <c r="T6">
        <v>3</v>
      </c>
      <c r="U6" t="s">
        <v>291</v>
      </c>
      <c r="V6">
        <v>40</v>
      </c>
      <c r="W6" t="s">
        <v>295</v>
      </c>
      <c r="X6" t="s">
        <v>298</v>
      </c>
      <c r="Y6" t="s">
        <v>299</v>
      </c>
      <c r="Z6" t="s">
        <v>302</v>
      </c>
      <c r="AA6" t="s">
        <v>307</v>
      </c>
      <c r="AB6">
        <f>VALUE(R6)*6</f>
        <v>0</v>
      </c>
      <c r="AC6">
        <f>IFERROR(VLOOKUP(K6,PointsMap!D2:E3,2,0),0)</f>
        <v>0</v>
      </c>
      <c r="AD6">
        <f>IFERROR(VLOOKUP(M6,PointsMap!G2:H5,2,0),0)</f>
        <v>0</v>
      </c>
      <c r="AE6">
        <f>IFERROR(VLOOKUP(AA6,PointsMap!M2:N5,2,0),0)</f>
        <v>0</v>
      </c>
      <c r="AF6">
        <f>IFERROR(VLOOKUP(Z6,PointsMap!J2:K5,2,0),0)</f>
        <v>0</v>
      </c>
      <c r="AG6">
        <f>MIN(8,VALUE(T6)*2)</f>
        <v>0</v>
      </c>
      <c r="AH6">
        <f>IFERROR(VLOOKUP(Q6,PointsMap!P2:Q5,2,0),0)</f>
        <v>0</v>
      </c>
      <c r="AI6">
        <f>MIN(8,ROUND(VALUE(G6)*8,0))</f>
        <v>0</v>
      </c>
      <c r="AJ6">
        <f>IFERROR(VLOOKUP(I6,PointsMap!A2:B5,2,0),0)</f>
        <v>0</v>
      </c>
      <c r="AK6">
        <f>IFERROR(VLOOKUP(W6,PointsMap!S2:T4,2,0),0)</f>
        <v>0</v>
      </c>
      <c r="AL6">
        <f>IFERROR(VLOOKUP(X6,PointsMap!V2:W4,2,0),0)</f>
        <v>0</v>
      </c>
      <c r="AM6">
        <f>MIN(5,VALUE(V6))</f>
        <v>0</v>
      </c>
      <c r="AN6">
        <f>AB6</f>
        <v>0</v>
      </c>
      <c r="AO6">
        <f>AC6+AD6+AE6+AF6</f>
        <v>0</v>
      </c>
      <c r="AP6">
        <f>AG6+AH6</f>
        <v>0</v>
      </c>
      <c r="AQ6">
        <f>AI6+AJ6</f>
        <v>0</v>
      </c>
      <c r="AR6">
        <f>AK6+AL6+AM6</f>
        <v>0</v>
      </c>
      <c r="AS6">
        <f>AN6*Weights!B3/100+AO6*Weights!B4/100+AP6*Weights!B5/100+AQ6*Weights!B6/100+AR6*Weights!B7/100</f>
        <v>0</v>
      </c>
      <c r="AT6" s="2" t="s">
        <v>311</v>
      </c>
      <c r="AY6" s="2" t="s">
        <v>435</v>
      </c>
      <c r="BB6" s="2" t="s">
        <v>551</v>
      </c>
      <c r="BD6" t="s">
        <v>644</v>
      </c>
    </row>
    <row r="7" spans="1:56">
      <c r="A7" t="s">
        <v>61</v>
      </c>
      <c r="B7" s="2" t="s">
        <v>161</v>
      </c>
      <c r="C7" t="s">
        <v>254</v>
      </c>
      <c r="D7">
        <v>1994</v>
      </c>
      <c r="E7">
        <v>29</v>
      </c>
      <c r="F7" t="s">
        <v>264</v>
      </c>
      <c r="G7">
        <v>0.55</v>
      </c>
      <c r="H7">
        <v>0.2</v>
      </c>
      <c r="I7" t="s">
        <v>270</v>
      </c>
      <c r="J7" t="s">
        <v>275</v>
      </c>
      <c r="K7" t="s">
        <v>277</v>
      </c>
      <c r="L7" t="s">
        <v>277</v>
      </c>
      <c r="M7" t="s">
        <v>278</v>
      </c>
      <c r="N7" t="s">
        <v>276</v>
      </c>
      <c r="O7">
        <v>25</v>
      </c>
      <c r="P7">
        <v>15</v>
      </c>
      <c r="Q7" t="s">
        <v>282</v>
      </c>
      <c r="R7">
        <v>3</v>
      </c>
      <c r="S7" t="s">
        <v>290</v>
      </c>
      <c r="T7">
        <v>3</v>
      </c>
      <c r="U7" t="s">
        <v>291</v>
      </c>
      <c r="V7">
        <v>10</v>
      </c>
      <c r="W7" t="s">
        <v>295</v>
      </c>
      <c r="X7" t="s">
        <v>297</v>
      </c>
      <c r="Y7" t="s">
        <v>301</v>
      </c>
      <c r="Z7" t="s">
        <v>304</v>
      </c>
      <c r="AA7" t="s">
        <v>307</v>
      </c>
      <c r="AB7">
        <f>VALUE(R7)*6</f>
        <v>0</v>
      </c>
      <c r="AC7">
        <f>IFERROR(VLOOKUP(K7,PointsMap!D2:E3,2,0),0)</f>
        <v>0</v>
      </c>
      <c r="AD7">
        <f>IFERROR(VLOOKUP(M7,PointsMap!G2:H5,2,0),0)</f>
        <v>0</v>
      </c>
      <c r="AE7">
        <f>IFERROR(VLOOKUP(AA7,PointsMap!M2:N5,2,0),0)</f>
        <v>0</v>
      </c>
      <c r="AF7">
        <f>IFERROR(VLOOKUP(Z7,PointsMap!J2:K5,2,0),0)</f>
        <v>0</v>
      </c>
      <c r="AG7">
        <f>MIN(8,VALUE(T7)*2)</f>
        <v>0</v>
      </c>
      <c r="AH7">
        <f>IFERROR(VLOOKUP(Q7,PointsMap!P2:Q5,2,0),0)</f>
        <v>0</v>
      </c>
      <c r="AI7">
        <f>MIN(8,ROUND(VALUE(G7)*8,0))</f>
        <v>0</v>
      </c>
      <c r="AJ7">
        <f>IFERROR(VLOOKUP(I7,PointsMap!A2:B5,2,0),0)</f>
        <v>0</v>
      </c>
      <c r="AK7">
        <f>IFERROR(VLOOKUP(W7,PointsMap!S2:T4,2,0),0)</f>
        <v>0</v>
      </c>
      <c r="AL7">
        <f>IFERROR(VLOOKUP(X7,PointsMap!V2:W4,2,0),0)</f>
        <v>0</v>
      </c>
      <c r="AM7">
        <f>MIN(5,VALUE(V7))</f>
        <v>0</v>
      </c>
      <c r="AN7">
        <f>AB7</f>
        <v>0</v>
      </c>
      <c r="AO7">
        <f>AC7+AD7+AE7+AF7</f>
        <v>0</v>
      </c>
      <c r="AP7">
        <f>AG7+AH7</f>
        <v>0</v>
      </c>
      <c r="AQ7">
        <f>AI7+AJ7</f>
        <v>0</v>
      </c>
      <c r="AR7">
        <f>AK7+AL7+AM7</f>
        <v>0</v>
      </c>
      <c r="AS7">
        <f>AN7*Weights!B3/100+AO7*Weights!B4/100+AP7*Weights!B5/100+AQ7*Weights!B6/100+AR7*Weights!B7/100</f>
        <v>0</v>
      </c>
      <c r="AT7" s="2" t="s">
        <v>312</v>
      </c>
      <c r="AV7" s="2" t="s">
        <v>422</v>
      </c>
      <c r="AY7" s="2" t="s">
        <v>436</v>
      </c>
      <c r="BB7" s="2" t="s">
        <v>552</v>
      </c>
      <c r="BD7" t="s">
        <v>645</v>
      </c>
    </row>
    <row r="8" spans="1:56">
      <c r="A8" t="s">
        <v>62</v>
      </c>
      <c r="B8" s="2" t="s">
        <v>162</v>
      </c>
      <c r="C8" t="s">
        <v>254</v>
      </c>
      <c r="D8">
        <v>1977</v>
      </c>
      <c r="E8">
        <v>15</v>
      </c>
      <c r="F8" t="s">
        <v>264</v>
      </c>
      <c r="G8">
        <v>0.55</v>
      </c>
      <c r="H8">
        <v>0.25</v>
      </c>
      <c r="I8" t="s">
        <v>270</v>
      </c>
      <c r="J8" t="s">
        <v>275</v>
      </c>
      <c r="K8" t="s">
        <v>277</v>
      </c>
      <c r="L8" t="s">
        <v>277</v>
      </c>
      <c r="M8" t="s">
        <v>278</v>
      </c>
      <c r="N8" t="s">
        <v>276</v>
      </c>
      <c r="O8">
        <v>20</v>
      </c>
      <c r="P8">
        <v>20</v>
      </c>
      <c r="Q8" t="s">
        <v>282</v>
      </c>
      <c r="R8">
        <v>3</v>
      </c>
      <c r="S8" t="s">
        <v>290</v>
      </c>
      <c r="T8">
        <v>3</v>
      </c>
      <c r="U8" t="s">
        <v>291</v>
      </c>
      <c r="V8">
        <v>8</v>
      </c>
      <c r="W8" t="s">
        <v>295</v>
      </c>
      <c r="X8" t="s">
        <v>297</v>
      </c>
      <c r="Y8" t="s">
        <v>301</v>
      </c>
      <c r="Z8" t="s">
        <v>302</v>
      </c>
      <c r="AA8" t="s">
        <v>307</v>
      </c>
      <c r="AB8">
        <f>VALUE(R8)*6</f>
        <v>0</v>
      </c>
      <c r="AC8">
        <f>IFERROR(VLOOKUP(K8,PointsMap!D2:E3,2,0),0)</f>
        <v>0</v>
      </c>
      <c r="AD8">
        <f>IFERROR(VLOOKUP(M8,PointsMap!G2:H5,2,0),0)</f>
        <v>0</v>
      </c>
      <c r="AE8">
        <f>IFERROR(VLOOKUP(AA8,PointsMap!M2:N5,2,0),0)</f>
        <v>0</v>
      </c>
      <c r="AF8">
        <f>IFERROR(VLOOKUP(Z8,PointsMap!J2:K5,2,0),0)</f>
        <v>0</v>
      </c>
      <c r="AG8">
        <f>MIN(8,VALUE(T8)*2)</f>
        <v>0</v>
      </c>
      <c r="AH8">
        <f>IFERROR(VLOOKUP(Q8,PointsMap!P2:Q5,2,0),0)</f>
        <v>0</v>
      </c>
      <c r="AI8">
        <f>MIN(8,ROUND(VALUE(G8)*8,0))</f>
        <v>0</v>
      </c>
      <c r="AJ8">
        <f>IFERROR(VLOOKUP(I8,PointsMap!A2:B5,2,0),0)</f>
        <v>0</v>
      </c>
      <c r="AK8">
        <f>IFERROR(VLOOKUP(W8,PointsMap!S2:T4,2,0),0)</f>
        <v>0</v>
      </c>
      <c r="AL8">
        <f>IFERROR(VLOOKUP(X8,PointsMap!V2:W4,2,0),0)</f>
        <v>0</v>
      </c>
      <c r="AM8">
        <f>MIN(5,VALUE(V8))</f>
        <v>0</v>
      </c>
      <c r="AN8">
        <f>AB8</f>
        <v>0</v>
      </c>
      <c r="AO8">
        <f>AC8+AD8+AE8+AF8</f>
        <v>0</v>
      </c>
      <c r="AP8">
        <f>AG8+AH8</f>
        <v>0</v>
      </c>
      <c r="AQ8">
        <f>AI8+AJ8</f>
        <v>0</v>
      </c>
      <c r="AR8">
        <f>AK8+AL8+AM8</f>
        <v>0</v>
      </c>
      <c r="AS8">
        <f>AN8*Weights!B3/100+AO8*Weights!B4/100+AP8*Weights!B5/100+AQ8*Weights!B6/100+AR8*Weights!B7/100</f>
        <v>0</v>
      </c>
      <c r="AT8" s="2" t="s">
        <v>162</v>
      </c>
      <c r="AY8" s="2" t="s">
        <v>437</v>
      </c>
      <c r="BB8" s="2" t="s">
        <v>553</v>
      </c>
      <c r="BD8" t="s">
        <v>646</v>
      </c>
    </row>
    <row r="9" spans="1:56">
      <c r="A9" t="s">
        <v>63</v>
      </c>
      <c r="B9" s="2" t="s">
        <v>163</v>
      </c>
      <c r="C9" t="s">
        <v>254</v>
      </c>
      <c r="D9">
        <v>1999</v>
      </c>
      <c r="E9">
        <v>13</v>
      </c>
      <c r="F9" t="s">
        <v>264</v>
      </c>
      <c r="G9">
        <v>0.55</v>
      </c>
      <c r="H9">
        <v>0.2</v>
      </c>
      <c r="I9" t="s">
        <v>270</v>
      </c>
      <c r="J9" t="s">
        <v>275</v>
      </c>
      <c r="K9" t="s">
        <v>277</v>
      </c>
      <c r="L9" t="s">
        <v>277</v>
      </c>
      <c r="M9" t="s">
        <v>279</v>
      </c>
      <c r="N9" t="s">
        <v>276</v>
      </c>
      <c r="O9">
        <v>15</v>
      </c>
      <c r="P9">
        <v>10</v>
      </c>
      <c r="Q9" t="s">
        <v>282</v>
      </c>
      <c r="R9">
        <v>2</v>
      </c>
      <c r="S9" t="s">
        <v>289</v>
      </c>
      <c r="T9">
        <v>2</v>
      </c>
      <c r="U9" t="s">
        <v>291</v>
      </c>
      <c r="V9">
        <v>5</v>
      </c>
      <c r="W9" t="s">
        <v>283</v>
      </c>
      <c r="X9" t="s">
        <v>298</v>
      </c>
      <c r="Y9" t="s">
        <v>301</v>
      </c>
      <c r="Z9" t="s">
        <v>304</v>
      </c>
      <c r="AA9" t="s">
        <v>283</v>
      </c>
      <c r="AB9">
        <f>VALUE(R9)*6</f>
        <v>0</v>
      </c>
      <c r="AC9">
        <f>IFERROR(VLOOKUP(K9,PointsMap!D2:E3,2,0),0)</f>
        <v>0</v>
      </c>
      <c r="AD9">
        <f>IFERROR(VLOOKUP(M9,PointsMap!G2:H5,2,0),0)</f>
        <v>0</v>
      </c>
      <c r="AE9">
        <f>IFERROR(VLOOKUP(AA9,PointsMap!M2:N5,2,0),0)</f>
        <v>0</v>
      </c>
      <c r="AF9">
        <f>IFERROR(VLOOKUP(Z9,PointsMap!J2:K5,2,0),0)</f>
        <v>0</v>
      </c>
      <c r="AG9">
        <f>MIN(8,VALUE(T9)*2)</f>
        <v>0</v>
      </c>
      <c r="AH9">
        <f>IFERROR(VLOOKUP(Q9,PointsMap!P2:Q5,2,0),0)</f>
        <v>0</v>
      </c>
      <c r="AI9">
        <f>MIN(8,ROUND(VALUE(G9)*8,0))</f>
        <v>0</v>
      </c>
      <c r="AJ9">
        <f>IFERROR(VLOOKUP(I9,PointsMap!A2:B5,2,0),0)</f>
        <v>0</v>
      </c>
      <c r="AK9">
        <f>IFERROR(VLOOKUP(W9,PointsMap!S2:T4,2,0),0)</f>
        <v>0</v>
      </c>
      <c r="AL9">
        <f>IFERROR(VLOOKUP(X9,PointsMap!V2:W4,2,0),0)</f>
        <v>0</v>
      </c>
      <c r="AM9">
        <f>MIN(5,VALUE(V9))</f>
        <v>0</v>
      </c>
      <c r="AN9">
        <f>AB9</f>
        <v>0</v>
      </c>
      <c r="AO9">
        <f>AC9+AD9+AE9+AF9</f>
        <v>0</v>
      </c>
      <c r="AP9">
        <f>AG9+AH9</f>
        <v>0</v>
      </c>
      <c r="AQ9">
        <f>AI9+AJ9</f>
        <v>0</v>
      </c>
      <c r="AR9">
        <f>AK9+AL9+AM9</f>
        <v>0</v>
      </c>
      <c r="AS9">
        <f>AN9*Weights!B3/100+AO9*Weights!B4/100+AP9*Weights!B5/100+AQ9*Weights!B6/100+AR9*Weights!B7/100</f>
        <v>0</v>
      </c>
      <c r="AT9" s="2" t="s">
        <v>163</v>
      </c>
      <c r="AY9" s="2" t="s">
        <v>438</v>
      </c>
      <c r="BB9" s="2" t="s">
        <v>554</v>
      </c>
      <c r="BD9" t="s">
        <v>647</v>
      </c>
    </row>
    <row r="10" spans="1:56">
      <c r="A10" t="s">
        <v>64</v>
      </c>
      <c r="B10" s="2" t="s">
        <v>164</v>
      </c>
      <c r="C10" t="s">
        <v>255</v>
      </c>
      <c r="D10">
        <v>1991</v>
      </c>
      <c r="E10">
        <v>10</v>
      </c>
      <c r="F10" t="s">
        <v>265</v>
      </c>
      <c r="G10">
        <v>0.65</v>
      </c>
      <c r="H10">
        <v>0.15</v>
      </c>
      <c r="I10" t="s">
        <v>270</v>
      </c>
      <c r="J10" t="s">
        <v>275</v>
      </c>
      <c r="K10" t="s">
        <v>277</v>
      </c>
      <c r="L10" t="s">
        <v>277</v>
      </c>
      <c r="M10" t="s">
        <v>278</v>
      </c>
      <c r="N10" t="s">
        <v>276</v>
      </c>
      <c r="O10">
        <v>10</v>
      </c>
      <c r="P10">
        <v>5</v>
      </c>
      <c r="Q10" t="s">
        <v>282</v>
      </c>
      <c r="R10">
        <v>2</v>
      </c>
      <c r="S10" t="s">
        <v>289</v>
      </c>
      <c r="T10">
        <v>2</v>
      </c>
      <c r="U10" t="s">
        <v>294</v>
      </c>
      <c r="V10">
        <v>12</v>
      </c>
      <c r="W10" t="s">
        <v>295</v>
      </c>
      <c r="X10" t="s">
        <v>297</v>
      </c>
      <c r="Y10" t="s">
        <v>299</v>
      </c>
      <c r="Z10" t="s">
        <v>304</v>
      </c>
      <c r="AA10" t="s">
        <v>307</v>
      </c>
      <c r="AB10">
        <f>VALUE(R10)*6</f>
        <v>0</v>
      </c>
      <c r="AC10">
        <f>IFERROR(VLOOKUP(K10,PointsMap!D2:E3,2,0),0)</f>
        <v>0</v>
      </c>
      <c r="AD10">
        <f>IFERROR(VLOOKUP(M10,PointsMap!G2:H5,2,0),0)</f>
        <v>0</v>
      </c>
      <c r="AE10">
        <f>IFERROR(VLOOKUP(AA10,PointsMap!M2:N5,2,0),0)</f>
        <v>0</v>
      </c>
      <c r="AF10">
        <f>IFERROR(VLOOKUP(Z10,PointsMap!J2:K5,2,0),0)</f>
        <v>0</v>
      </c>
      <c r="AG10">
        <f>MIN(8,VALUE(T10)*2)</f>
        <v>0</v>
      </c>
      <c r="AH10">
        <f>IFERROR(VLOOKUP(Q10,PointsMap!P2:Q5,2,0),0)</f>
        <v>0</v>
      </c>
      <c r="AI10">
        <f>MIN(8,ROUND(VALUE(G10)*8,0))</f>
        <v>0</v>
      </c>
      <c r="AJ10">
        <f>IFERROR(VLOOKUP(I10,PointsMap!A2:B5,2,0),0)</f>
        <v>0</v>
      </c>
      <c r="AK10">
        <f>IFERROR(VLOOKUP(W10,PointsMap!S2:T4,2,0),0)</f>
        <v>0</v>
      </c>
      <c r="AL10">
        <f>IFERROR(VLOOKUP(X10,PointsMap!V2:W4,2,0),0)</f>
        <v>0</v>
      </c>
      <c r="AM10">
        <f>MIN(5,VALUE(V10))</f>
        <v>0</v>
      </c>
      <c r="AN10">
        <f>AB10</f>
        <v>0</v>
      </c>
      <c r="AO10">
        <f>AC10+AD10+AE10+AF10</f>
        <v>0</v>
      </c>
      <c r="AP10">
        <f>AG10+AH10</f>
        <v>0</v>
      </c>
      <c r="AQ10">
        <f>AI10+AJ10</f>
        <v>0</v>
      </c>
      <c r="AR10">
        <f>AK10+AL10+AM10</f>
        <v>0</v>
      </c>
      <c r="AS10">
        <f>AN10*Weights!B3/100+AO10*Weights!B4/100+AP10*Weights!B5/100+AQ10*Weights!B6/100+AR10*Weights!B7/100</f>
        <v>0</v>
      </c>
      <c r="AT10" s="2" t="s">
        <v>313</v>
      </c>
      <c r="AV10" s="2" t="s">
        <v>423</v>
      </c>
      <c r="AY10" s="2" t="s">
        <v>439</v>
      </c>
      <c r="BB10" s="2" t="s">
        <v>555</v>
      </c>
      <c r="BD10" t="s">
        <v>648</v>
      </c>
    </row>
    <row r="11" spans="1:56">
      <c r="A11" t="s">
        <v>65</v>
      </c>
      <c r="B11" s="2" t="s">
        <v>165</v>
      </c>
      <c r="C11" t="s">
        <v>256</v>
      </c>
      <c r="D11">
        <v>1972</v>
      </c>
      <c r="E11">
        <v>5</v>
      </c>
      <c r="F11" t="s">
        <v>266</v>
      </c>
      <c r="G11">
        <v>0.8</v>
      </c>
      <c r="H11">
        <v>0.05</v>
      </c>
      <c r="I11" t="s">
        <v>271</v>
      </c>
      <c r="J11" t="s">
        <v>275</v>
      </c>
      <c r="K11" t="s">
        <v>277</v>
      </c>
      <c r="L11" t="s">
        <v>277</v>
      </c>
      <c r="M11" t="s">
        <v>279</v>
      </c>
      <c r="N11" t="s">
        <v>277</v>
      </c>
      <c r="O11">
        <v>5</v>
      </c>
      <c r="P11">
        <v>0</v>
      </c>
      <c r="Q11" t="s">
        <v>283</v>
      </c>
      <c r="R11">
        <v>1</v>
      </c>
      <c r="S11" t="s">
        <v>290</v>
      </c>
      <c r="T11">
        <v>1</v>
      </c>
      <c r="U11" t="s">
        <v>294</v>
      </c>
      <c r="V11">
        <v>0</v>
      </c>
      <c r="W11" t="s">
        <v>283</v>
      </c>
      <c r="X11" t="s">
        <v>298</v>
      </c>
      <c r="Y11" t="s">
        <v>301</v>
      </c>
      <c r="Z11" t="s">
        <v>283</v>
      </c>
      <c r="AB11">
        <f>VALUE(R11)*6</f>
        <v>0</v>
      </c>
      <c r="AC11">
        <f>IFERROR(VLOOKUP(K11,PointsMap!D2:E3,2,0),0)</f>
        <v>0</v>
      </c>
      <c r="AD11">
        <f>IFERROR(VLOOKUP(M11,PointsMap!G2:H5,2,0),0)</f>
        <v>0</v>
      </c>
      <c r="AE11">
        <f>IFERROR(VLOOKUP(AA11,PointsMap!M2:N5,2,0),0)</f>
        <v>0</v>
      </c>
      <c r="AF11">
        <f>IFERROR(VLOOKUP(Z11,PointsMap!J2:K5,2,0),0)</f>
        <v>0</v>
      </c>
      <c r="AG11">
        <f>MIN(8,VALUE(T11)*2)</f>
        <v>0</v>
      </c>
      <c r="AH11">
        <f>IFERROR(VLOOKUP(Q11,PointsMap!P2:Q5,2,0),0)</f>
        <v>0</v>
      </c>
      <c r="AI11">
        <f>MIN(8,ROUND(VALUE(G11)*8,0))</f>
        <v>0</v>
      </c>
      <c r="AJ11">
        <f>IFERROR(VLOOKUP(I11,PointsMap!A2:B5,2,0),0)</f>
        <v>0</v>
      </c>
      <c r="AK11">
        <f>IFERROR(VLOOKUP(W11,PointsMap!S2:T4,2,0),0)</f>
        <v>0</v>
      </c>
      <c r="AL11">
        <f>IFERROR(VLOOKUP(X11,PointsMap!V2:W4,2,0),0)</f>
        <v>0</v>
      </c>
      <c r="AM11">
        <f>MIN(5,VALUE(V11))</f>
        <v>0</v>
      </c>
      <c r="AN11">
        <f>AB11</f>
        <v>0</v>
      </c>
      <c r="AO11">
        <f>AC11+AD11+AE11+AF11</f>
        <v>0</v>
      </c>
      <c r="AP11">
        <f>AG11+AH11</f>
        <v>0</v>
      </c>
      <c r="AQ11">
        <f>AI11+AJ11</f>
        <v>0</v>
      </c>
      <c r="AR11">
        <f>AK11+AL11+AM11</f>
        <v>0</v>
      </c>
      <c r="AS11">
        <f>AN11*Weights!B3/100+AO11*Weights!B4/100+AP11*Weights!B5/100+AQ11*Weights!B6/100+AR11*Weights!B7/100</f>
        <v>0</v>
      </c>
      <c r="AY11" s="2" t="s">
        <v>440</v>
      </c>
      <c r="BB11" s="2" t="s">
        <v>556</v>
      </c>
      <c r="BD11" t="s">
        <v>649</v>
      </c>
    </row>
    <row r="12" spans="1:56">
      <c r="A12" t="s">
        <v>66</v>
      </c>
      <c r="B12" s="2" t="s">
        <v>166</v>
      </c>
      <c r="C12" t="s">
        <v>257</v>
      </c>
      <c r="D12">
        <v>1993</v>
      </c>
      <c r="E12">
        <v>50</v>
      </c>
      <c r="F12" t="s">
        <v>262</v>
      </c>
      <c r="G12">
        <v>0.25</v>
      </c>
      <c r="H12">
        <v>0.55</v>
      </c>
      <c r="I12" t="s">
        <v>269</v>
      </c>
      <c r="J12" t="s">
        <v>274</v>
      </c>
      <c r="K12" t="s">
        <v>276</v>
      </c>
      <c r="L12" t="s">
        <v>276</v>
      </c>
      <c r="M12" t="s">
        <v>278</v>
      </c>
      <c r="N12" t="s">
        <v>276</v>
      </c>
      <c r="O12">
        <v>120</v>
      </c>
      <c r="P12">
        <v>220</v>
      </c>
      <c r="Q12" t="s">
        <v>280</v>
      </c>
      <c r="R12">
        <v>4</v>
      </c>
      <c r="S12" t="s">
        <v>288</v>
      </c>
      <c r="T12">
        <v>5</v>
      </c>
      <c r="U12" t="s">
        <v>292</v>
      </c>
      <c r="V12">
        <v>300</v>
      </c>
      <c r="W12" t="s">
        <v>296</v>
      </c>
      <c r="X12" t="s">
        <v>297</v>
      </c>
      <c r="Y12" t="s">
        <v>300</v>
      </c>
      <c r="Z12" t="s">
        <v>303</v>
      </c>
      <c r="AA12" t="s">
        <v>306</v>
      </c>
      <c r="AB12">
        <f>VALUE(R12)*6</f>
        <v>0</v>
      </c>
      <c r="AC12">
        <f>IFERROR(VLOOKUP(K12,PointsMap!D2:E3,2,0),0)</f>
        <v>0</v>
      </c>
      <c r="AD12">
        <f>IFERROR(VLOOKUP(M12,PointsMap!G2:H5,2,0),0)</f>
        <v>0</v>
      </c>
      <c r="AE12">
        <f>IFERROR(VLOOKUP(AA12,PointsMap!M2:N5,2,0),0)</f>
        <v>0</v>
      </c>
      <c r="AF12">
        <f>IFERROR(VLOOKUP(Z12,PointsMap!J2:K5,2,0),0)</f>
        <v>0</v>
      </c>
      <c r="AG12">
        <f>MIN(8,VALUE(T12)*2)</f>
        <v>0</v>
      </c>
      <c r="AH12">
        <f>IFERROR(VLOOKUP(Q12,PointsMap!P2:Q5,2,0),0)</f>
        <v>0</v>
      </c>
      <c r="AI12">
        <f>MIN(8,ROUND(VALUE(G12)*8,0))</f>
        <v>0</v>
      </c>
      <c r="AJ12">
        <f>IFERROR(VLOOKUP(I12,PointsMap!A2:B5,2,0),0)</f>
        <v>0</v>
      </c>
      <c r="AK12">
        <f>IFERROR(VLOOKUP(W12,PointsMap!S2:T4,2,0),0)</f>
        <v>0</v>
      </c>
      <c r="AL12">
        <f>IFERROR(VLOOKUP(X12,PointsMap!V2:W4,2,0),0)</f>
        <v>0</v>
      </c>
      <c r="AM12">
        <f>MIN(5,VALUE(V12))</f>
        <v>0</v>
      </c>
      <c r="AN12">
        <f>AB12</f>
        <v>0</v>
      </c>
      <c r="AO12">
        <f>AC12+AD12+AE12+AF12</f>
        <v>0</v>
      </c>
      <c r="AP12">
        <f>AG12+AH12</f>
        <v>0</v>
      </c>
      <c r="AQ12">
        <f>AI12+AJ12</f>
        <v>0</v>
      </c>
      <c r="AR12">
        <f>AK12+AL12+AM12</f>
        <v>0</v>
      </c>
      <c r="AS12">
        <f>AN12*Weights!B3/100+AO12*Weights!B4/100+AP12*Weights!B5/100+AQ12*Weights!B6/100+AR12*Weights!B7/100</f>
        <v>0</v>
      </c>
      <c r="AT12" s="2" t="s">
        <v>314</v>
      </c>
      <c r="AW12" s="2" t="s">
        <v>425</v>
      </c>
      <c r="AY12" s="2" t="s">
        <v>441</v>
      </c>
      <c r="BA12" s="2" t="s">
        <v>530</v>
      </c>
      <c r="BB12" s="2" t="s">
        <v>557</v>
      </c>
      <c r="BD12" t="s">
        <v>650</v>
      </c>
    </row>
    <row r="13" spans="1:56">
      <c r="A13" t="s">
        <v>67</v>
      </c>
      <c r="B13" s="2" t="s">
        <v>167</v>
      </c>
      <c r="C13" t="s">
        <v>257</v>
      </c>
      <c r="D13">
        <v>2003</v>
      </c>
      <c r="E13">
        <v>40</v>
      </c>
      <c r="F13" t="s">
        <v>262</v>
      </c>
      <c r="G13">
        <v>0.3</v>
      </c>
      <c r="H13">
        <v>0.5</v>
      </c>
      <c r="I13" t="s">
        <v>269</v>
      </c>
      <c r="J13" t="s">
        <v>274</v>
      </c>
      <c r="K13" t="s">
        <v>276</v>
      </c>
      <c r="L13" t="s">
        <v>276</v>
      </c>
      <c r="M13" t="s">
        <v>278</v>
      </c>
      <c r="N13" t="s">
        <v>276</v>
      </c>
      <c r="O13">
        <v>90</v>
      </c>
      <c r="P13">
        <v>180</v>
      </c>
      <c r="Q13" t="s">
        <v>280</v>
      </c>
      <c r="R13">
        <v>4</v>
      </c>
      <c r="S13" t="s">
        <v>287</v>
      </c>
      <c r="T13">
        <v>4</v>
      </c>
      <c r="U13" t="s">
        <v>292</v>
      </c>
      <c r="V13">
        <v>150</v>
      </c>
      <c r="W13" t="s">
        <v>296</v>
      </c>
      <c r="X13" t="s">
        <v>297</v>
      </c>
      <c r="Y13" t="s">
        <v>299</v>
      </c>
      <c r="Z13" t="s">
        <v>302</v>
      </c>
      <c r="AA13" t="s">
        <v>305</v>
      </c>
      <c r="AB13">
        <f>VALUE(R13)*6</f>
        <v>0</v>
      </c>
      <c r="AC13">
        <f>IFERROR(VLOOKUP(K13,PointsMap!D2:E3,2,0),0)</f>
        <v>0</v>
      </c>
      <c r="AD13">
        <f>IFERROR(VLOOKUP(M13,PointsMap!G2:H5,2,0),0)</f>
        <v>0</v>
      </c>
      <c r="AE13">
        <f>IFERROR(VLOOKUP(AA13,PointsMap!M2:N5,2,0),0)</f>
        <v>0</v>
      </c>
      <c r="AF13">
        <f>IFERROR(VLOOKUP(Z13,PointsMap!J2:K5,2,0),0)</f>
        <v>0</v>
      </c>
      <c r="AG13">
        <f>MIN(8,VALUE(T13)*2)</f>
        <v>0</v>
      </c>
      <c r="AH13">
        <f>IFERROR(VLOOKUP(Q13,PointsMap!P2:Q5,2,0),0)</f>
        <v>0</v>
      </c>
      <c r="AI13">
        <f>MIN(8,ROUND(VALUE(G13)*8,0))</f>
        <v>0</v>
      </c>
      <c r="AJ13">
        <f>IFERROR(VLOOKUP(I13,PointsMap!A2:B5,2,0),0)</f>
        <v>0</v>
      </c>
      <c r="AK13">
        <f>IFERROR(VLOOKUP(W13,PointsMap!S2:T4,2,0),0)</f>
        <v>0</v>
      </c>
      <c r="AL13">
        <f>IFERROR(VLOOKUP(X13,PointsMap!V2:W4,2,0),0)</f>
        <v>0</v>
      </c>
      <c r="AM13">
        <f>MIN(5,VALUE(V13))</f>
        <v>0</v>
      </c>
      <c r="AN13">
        <f>AB13</f>
        <v>0</v>
      </c>
      <c r="AO13">
        <f>AC13+AD13+AE13+AF13</f>
        <v>0</v>
      </c>
      <c r="AP13">
        <f>AG13+AH13</f>
        <v>0</v>
      </c>
      <c r="AQ13">
        <f>AI13+AJ13</f>
        <v>0</v>
      </c>
      <c r="AR13">
        <f>AK13+AL13+AM13</f>
        <v>0</v>
      </c>
      <c r="AS13">
        <f>AN13*Weights!B3/100+AO13*Weights!B4/100+AP13*Weights!B5/100+AQ13*Weights!B6/100+AR13*Weights!B7/100</f>
        <v>0</v>
      </c>
      <c r="AT13" s="2" t="s">
        <v>315</v>
      </c>
      <c r="AW13" s="2" t="s">
        <v>426</v>
      </c>
      <c r="AY13" s="2" t="s">
        <v>442</v>
      </c>
      <c r="BA13" s="2" t="s">
        <v>531</v>
      </c>
      <c r="BB13" s="2" t="s">
        <v>558</v>
      </c>
      <c r="BD13" t="s">
        <v>651</v>
      </c>
    </row>
    <row r="14" spans="1:56">
      <c r="A14" t="s">
        <v>68</v>
      </c>
      <c r="B14" s="2" t="s">
        <v>168</v>
      </c>
      <c r="C14" t="s">
        <v>255</v>
      </c>
      <c r="D14">
        <v>1993</v>
      </c>
      <c r="E14">
        <v>20</v>
      </c>
      <c r="F14" t="s">
        <v>263</v>
      </c>
      <c r="G14">
        <v>0.35</v>
      </c>
      <c r="H14">
        <v>0.45</v>
      </c>
      <c r="I14" t="s">
        <v>269</v>
      </c>
      <c r="J14" t="s">
        <v>274</v>
      </c>
      <c r="K14" t="s">
        <v>276</v>
      </c>
      <c r="L14" t="s">
        <v>276</v>
      </c>
      <c r="M14" t="s">
        <v>278</v>
      </c>
      <c r="N14" t="s">
        <v>276</v>
      </c>
      <c r="O14">
        <v>40</v>
      </c>
      <c r="P14">
        <v>60</v>
      </c>
      <c r="Q14" t="s">
        <v>281</v>
      </c>
      <c r="R14">
        <v>3</v>
      </c>
      <c r="S14" t="s">
        <v>289</v>
      </c>
      <c r="T14">
        <v>3</v>
      </c>
      <c r="U14" t="s">
        <v>291</v>
      </c>
      <c r="V14">
        <v>25</v>
      </c>
      <c r="W14" t="s">
        <v>295</v>
      </c>
      <c r="X14" t="s">
        <v>297</v>
      </c>
      <c r="Y14" t="s">
        <v>299</v>
      </c>
      <c r="Z14" t="s">
        <v>302</v>
      </c>
      <c r="AA14" t="s">
        <v>305</v>
      </c>
      <c r="AB14">
        <f>VALUE(R14)*6</f>
        <v>0</v>
      </c>
      <c r="AC14">
        <f>IFERROR(VLOOKUP(K14,PointsMap!D2:E3,2,0),0)</f>
        <v>0</v>
      </c>
      <c r="AD14">
        <f>IFERROR(VLOOKUP(M14,PointsMap!G2:H5,2,0),0)</f>
        <v>0</v>
      </c>
      <c r="AE14">
        <f>IFERROR(VLOOKUP(AA14,PointsMap!M2:N5,2,0),0)</f>
        <v>0</v>
      </c>
      <c r="AF14">
        <f>IFERROR(VLOOKUP(Z14,PointsMap!J2:K5,2,0),0)</f>
        <v>0</v>
      </c>
      <c r="AG14">
        <f>MIN(8,VALUE(T14)*2)</f>
        <v>0</v>
      </c>
      <c r="AH14">
        <f>IFERROR(VLOOKUP(Q14,PointsMap!P2:Q5,2,0),0)</f>
        <v>0</v>
      </c>
      <c r="AI14">
        <f>MIN(8,ROUND(VALUE(G14)*8,0))</f>
        <v>0</v>
      </c>
      <c r="AJ14">
        <f>IFERROR(VLOOKUP(I14,PointsMap!A2:B5,2,0),0)</f>
        <v>0</v>
      </c>
      <c r="AK14">
        <f>IFERROR(VLOOKUP(W14,PointsMap!S2:T4,2,0),0)</f>
        <v>0</v>
      </c>
      <c r="AL14">
        <f>IFERROR(VLOOKUP(X14,PointsMap!V2:W4,2,0),0)</f>
        <v>0</v>
      </c>
      <c r="AM14">
        <f>MIN(5,VALUE(V14))</f>
        <v>0</v>
      </c>
      <c r="AN14">
        <f>AB14</f>
        <v>0</v>
      </c>
      <c r="AO14">
        <f>AC14+AD14+AE14+AF14</f>
        <v>0</v>
      </c>
      <c r="AP14">
        <f>AG14+AH14</f>
        <v>0</v>
      </c>
      <c r="AQ14">
        <f>AI14+AJ14</f>
        <v>0</v>
      </c>
      <c r="AR14">
        <f>AK14+AL14+AM14</f>
        <v>0</v>
      </c>
      <c r="AS14">
        <f>AN14*Weights!B3/100+AO14*Weights!B4/100+AP14*Weights!B5/100+AQ14*Weights!B6/100+AR14*Weights!B7/100</f>
        <v>0</v>
      </c>
      <c r="AT14" s="2" t="s">
        <v>316</v>
      </c>
      <c r="AW14" s="2" t="s">
        <v>427</v>
      </c>
      <c r="AY14" s="2" t="s">
        <v>443</v>
      </c>
      <c r="BA14" s="2" t="s">
        <v>532</v>
      </c>
      <c r="BB14" s="2" t="s">
        <v>559</v>
      </c>
      <c r="BD14" t="s">
        <v>652</v>
      </c>
    </row>
    <row r="15" spans="1:56">
      <c r="A15" t="s">
        <v>69</v>
      </c>
      <c r="B15" s="2" t="s">
        <v>169</v>
      </c>
      <c r="C15" t="s">
        <v>257</v>
      </c>
      <c r="D15">
        <v>2000</v>
      </c>
      <c r="E15">
        <v>30</v>
      </c>
      <c r="F15" t="s">
        <v>263</v>
      </c>
      <c r="G15">
        <v>0.3</v>
      </c>
      <c r="H15">
        <v>0.55</v>
      </c>
      <c r="I15" t="s">
        <v>269</v>
      </c>
      <c r="J15" t="s">
        <v>274</v>
      </c>
      <c r="K15" t="s">
        <v>276</v>
      </c>
      <c r="L15" t="s">
        <v>276</v>
      </c>
      <c r="M15" t="s">
        <v>278</v>
      </c>
      <c r="N15" t="s">
        <v>276</v>
      </c>
      <c r="O15">
        <v>50</v>
      </c>
      <c r="P15">
        <v>100</v>
      </c>
      <c r="Q15" t="s">
        <v>281</v>
      </c>
      <c r="R15">
        <v>3</v>
      </c>
      <c r="S15" t="s">
        <v>287</v>
      </c>
      <c r="T15">
        <v>3</v>
      </c>
      <c r="U15" t="s">
        <v>291</v>
      </c>
      <c r="V15">
        <v>60</v>
      </c>
      <c r="W15" t="s">
        <v>295</v>
      </c>
      <c r="X15" t="s">
        <v>298</v>
      </c>
      <c r="Y15" t="s">
        <v>299</v>
      </c>
      <c r="Z15" t="s">
        <v>302</v>
      </c>
      <c r="AA15" t="s">
        <v>305</v>
      </c>
      <c r="AB15">
        <f>VALUE(R15)*6</f>
        <v>0</v>
      </c>
      <c r="AC15">
        <f>IFERROR(VLOOKUP(K15,PointsMap!D2:E3,2,0),0)</f>
        <v>0</v>
      </c>
      <c r="AD15">
        <f>IFERROR(VLOOKUP(M15,PointsMap!G2:H5,2,0),0)</f>
        <v>0</v>
      </c>
      <c r="AE15">
        <f>IFERROR(VLOOKUP(AA15,PointsMap!M2:N5,2,0),0)</f>
        <v>0</v>
      </c>
      <c r="AF15">
        <f>IFERROR(VLOOKUP(Z15,PointsMap!J2:K5,2,0),0)</f>
        <v>0</v>
      </c>
      <c r="AG15">
        <f>MIN(8,VALUE(T15)*2)</f>
        <v>0</v>
      </c>
      <c r="AH15">
        <f>IFERROR(VLOOKUP(Q15,PointsMap!P2:Q5,2,0),0)</f>
        <v>0</v>
      </c>
      <c r="AI15">
        <f>MIN(8,ROUND(VALUE(G15)*8,0))</f>
        <v>0</v>
      </c>
      <c r="AJ15">
        <f>IFERROR(VLOOKUP(I15,PointsMap!A2:B5,2,0),0)</f>
        <v>0</v>
      </c>
      <c r="AK15">
        <f>IFERROR(VLOOKUP(W15,PointsMap!S2:T4,2,0),0)</f>
        <v>0</v>
      </c>
      <c r="AL15">
        <f>IFERROR(VLOOKUP(X15,PointsMap!V2:W4,2,0),0)</f>
        <v>0</v>
      </c>
      <c r="AM15">
        <f>MIN(5,VALUE(V15))</f>
        <v>0</v>
      </c>
      <c r="AN15">
        <f>AB15</f>
        <v>0</v>
      </c>
      <c r="AO15">
        <f>AC15+AD15+AE15+AF15</f>
        <v>0</v>
      </c>
      <c r="AP15">
        <f>AG15+AH15</f>
        <v>0</v>
      </c>
      <c r="AQ15">
        <f>AI15+AJ15</f>
        <v>0</v>
      </c>
      <c r="AR15">
        <f>AK15+AL15+AM15</f>
        <v>0</v>
      </c>
      <c r="AS15">
        <f>AN15*Weights!B3/100+AO15*Weights!B4/100+AP15*Weights!B5/100+AQ15*Weights!B6/100+AR15*Weights!B7/100</f>
        <v>0</v>
      </c>
      <c r="AT15" s="2" t="s">
        <v>317</v>
      </c>
      <c r="AW15" s="2" t="s">
        <v>428</v>
      </c>
      <c r="AY15" s="2" t="s">
        <v>444</v>
      </c>
      <c r="BA15" s="2" t="s">
        <v>533</v>
      </c>
      <c r="BB15" s="2" t="s">
        <v>560</v>
      </c>
      <c r="BD15" t="s">
        <v>653</v>
      </c>
    </row>
    <row r="16" spans="1:56">
      <c r="A16" t="s">
        <v>70</v>
      </c>
      <c r="B16" s="2" t="s">
        <v>170</v>
      </c>
      <c r="C16" t="s">
        <v>257</v>
      </c>
      <c r="D16">
        <v>1995</v>
      </c>
      <c r="E16">
        <v>25</v>
      </c>
      <c r="F16" t="s">
        <v>263</v>
      </c>
      <c r="G16">
        <v>0.35</v>
      </c>
      <c r="H16">
        <v>0.45</v>
      </c>
      <c r="I16" t="s">
        <v>269</v>
      </c>
      <c r="J16" t="s">
        <v>274</v>
      </c>
      <c r="K16" t="s">
        <v>276</v>
      </c>
      <c r="L16" t="s">
        <v>276</v>
      </c>
      <c r="M16" t="s">
        <v>278</v>
      </c>
      <c r="N16" t="s">
        <v>276</v>
      </c>
      <c r="O16">
        <v>35</v>
      </c>
      <c r="P16">
        <v>70</v>
      </c>
      <c r="Q16" t="s">
        <v>281</v>
      </c>
      <c r="R16">
        <v>3</v>
      </c>
      <c r="S16" t="s">
        <v>289</v>
      </c>
      <c r="T16">
        <v>3</v>
      </c>
      <c r="U16" t="s">
        <v>291</v>
      </c>
      <c r="V16">
        <v>40</v>
      </c>
      <c r="W16" t="s">
        <v>295</v>
      </c>
      <c r="X16" t="s">
        <v>297</v>
      </c>
      <c r="Y16" t="s">
        <v>299</v>
      </c>
      <c r="Z16" t="s">
        <v>302</v>
      </c>
      <c r="AA16" t="s">
        <v>307</v>
      </c>
      <c r="AB16">
        <f>VALUE(R16)*6</f>
        <v>0</v>
      </c>
      <c r="AC16">
        <f>IFERROR(VLOOKUP(K16,PointsMap!D2:E3,2,0),0)</f>
        <v>0</v>
      </c>
      <c r="AD16">
        <f>IFERROR(VLOOKUP(M16,PointsMap!G2:H5,2,0),0)</f>
        <v>0</v>
      </c>
      <c r="AE16">
        <f>IFERROR(VLOOKUP(AA16,PointsMap!M2:N5,2,0),0)</f>
        <v>0</v>
      </c>
      <c r="AF16">
        <f>IFERROR(VLOOKUP(Z16,PointsMap!J2:K5,2,0),0)</f>
        <v>0</v>
      </c>
      <c r="AG16">
        <f>MIN(8,VALUE(T16)*2)</f>
        <v>0</v>
      </c>
      <c r="AH16">
        <f>IFERROR(VLOOKUP(Q16,PointsMap!P2:Q5,2,0),0)</f>
        <v>0</v>
      </c>
      <c r="AI16">
        <f>MIN(8,ROUND(VALUE(G16)*8,0))</f>
        <v>0</v>
      </c>
      <c r="AJ16">
        <f>IFERROR(VLOOKUP(I16,PointsMap!A2:B5,2,0),0)</f>
        <v>0</v>
      </c>
      <c r="AK16">
        <f>IFERROR(VLOOKUP(W16,PointsMap!S2:T4,2,0),0)</f>
        <v>0</v>
      </c>
      <c r="AL16">
        <f>IFERROR(VLOOKUP(X16,PointsMap!V2:W4,2,0),0)</f>
        <v>0</v>
      </c>
      <c r="AM16">
        <f>MIN(5,VALUE(V16))</f>
        <v>0</v>
      </c>
      <c r="AN16">
        <f>AB16</f>
        <v>0</v>
      </c>
      <c r="AO16">
        <f>AC16+AD16+AE16+AF16</f>
        <v>0</v>
      </c>
      <c r="AP16">
        <f>AG16+AH16</f>
        <v>0</v>
      </c>
      <c r="AQ16">
        <f>AI16+AJ16</f>
        <v>0</v>
      </c>
      <c r="AR16">
        <f>AK16+AL16+AM16</f>
        <v>0</v>
      </c>
      <c r="AS16">
        <f>AN16*Weights!B3/100+AO16*Weights!B4/100+AP16*Weights!B5/100+AQ16*Weights!B6/100+AR16*Weights!B7/100</f>
        <v>0</v>
      </c>
      <c r="AT16" s="2" t="s">
        <v>318</v>
      </c>
      <c r="AW16" s="2" t="s">
        <v>429</v>
      </c>
      <c r="AY16" s="2" t="s">
        <v>445</v>
      </c>
      <c r="BA16" s="2" t="s">
        <v>534</v>
      </c>
      <c r="BB16" s="2" t="s">
        <v>561</v>
      </c>
      <c r="BD16" t="s">
        <v>654</v>
      </c>
    </row>
    <row r="17" spans="1:56">
      <c r="A17" t="s">
        <v>71</v>
      </c>
      <c r="B17" s="2" t="s">
        <v>171</v>
      </c>
      <c r="C17" t="s">
        <v>257</v>
      </c>
      <c r="D17">
        <v>1993</v>
      </c>
      <c r="E17">
        <v>40</v>
      </c>
      <c r="F17" t="s">
        <v>263</v>
      </c>
      <c r="G17">
        <v>0.4</v>
      </c>
      <c r="H17">
        <v>0.45</v>
      </c>
      <c r="I17" t="s">
        <v>269</v>
      </c>
      <c r="J17" t="s">
        <v>275</v>
      </c>
      <c r="K17" t="s">
        <v>276</v>
      </c>
      <c r="L17" t="s">
        <v>276</v>
      </c>
      <c r="M17" t="s">
        <v>278</v>
      </c>
      <c r="N17" t="s">
        <v>276</v>
      </c>
      <c r="O17">
        <v>50</v>
      </c>
      <c r="P17">
        <v>90</v>
      </c>
      <c r="Q17" t="s">
        <v>281</v>
      </c>
      <c r="R17">
        <v>3</v>
      </c>
      <c r="S17" t="s">
        <v>287</v>
      </c>
      <c r="T17">
        <v>3</v>
      </c>
      <c r="U17" t="s">
        <v>292</v>
      </c>
      <c r="V17">
        <v>80</v>
      </c>
      <c r="W17" t="s">
        <v>296</v>
      </c>
      <c r="X17" t="s">
        <v>297</v>
      </c>
      <c r="Y17" t="s">
        <v>299</v>
      </c>
      <c r="Z17" t="s">
        <v>303</v>
      </c>
      <c r="AA17" t="s">
        <v>306</v>
      </c>
      <c r="AB17">
        <f>VALUE(R17)*6</f>
        <v>0</v>
      </c>
      <c r="AC17">
        <f>IFERROR(VLOOKUP(K17,PointsMap!D2:E3,2,0),0)</f>
        <v>0</v>
      </c>
      <c r="AD17">
        <f>IFERROR(VLOOKUP(M17,PointsMap!G2:H5,2,0),0)</f>
        <v>0</v>
      </c>
      <c r="AE17">
        <f>IFERROR(VLOOKUP(AA17,PointsMap!M2:N5,2,0),0)</f>
        <v>0</v>
      </c>
      <c r="AF17">
        <f>IFERROR(VLOOKUP(Z17,PointsMap!J2:K5,2,0),0)</f>
        <v>0</v>
      </c>
      <c r="AG17">
        <f>MIN(8,VALUE(T17)*2)</f>
        <v>0</v>
      </c>
      <c r="AH17">
        <f>IFERROR(VLOOKUP(Q17,PointsMap!P2:Q5,2,0),0)</f>
        <v>0</v>
      </c>
      <c r="AI17">
        <f>MIN(8,ROUND(VALUE(G17)*8,0))</f>
        <v>0</v>
      </c>
      <c r="AJ17">
        <f>IFERROR(VLOOKUP(I17,PointsMap!A2:B5,2,0),0)</f>
        <v>0</v>
      </c>
      <c r="AK17">
        <f>IFERROR(VLOOKUP(W17,PointsMap!S2:T4,2,0),0)</f>
        <v>0</v>
      </c>
      <c r="AL17">
        <f>IFERROR(VLOOKUP(X17,PointsMap!V2:W4,2,0),0)</f>
        <v>0</v>
      </c>
      <c r="AM17">
        <f>MIN(5,VALUE(V17))</f>
        <v>0</v>
      </c>
      <c r="AN17">
        <f>AB17</f>
        <v>0</v>
      </c>
      <c r="AO17">
        <f>AC17+AD17+AE17+AF17</f>
        <v>0</v>
      </c>
      <c r="AP17">
        <f>AG17+AH17</f>
        <v>0</v>
      </c>
      <c r="AQ17">
        <f>AI17+AJ17</f>
        <v>0</v>
      </c>
      <c r="AR17">
        <f>AK17+AL17+AM17</f>
        <v>0</v>
      </c>
      <c r="AS17">
        <f>AN17*Weights!B3/100+AO17*Weights!B4/100+AP17*Weights!B5/100+AQ17*Weights!B6/100+AR17*Weights!B7/100</f>
        <v>0</v>
      </c>
      <c r="AT17" s="2" t="s">
        <v>319</v>
      </c>
      <c r="AW17" s="2" t="s">
        <v>430</v>
      </c>
      <c r="AY17" s="2" t="s">
        <v>446</v>
      </c>
      <c r="AZ17" s="2" t="s">
        <v>525</v>
      </c>
      <c r="BA17" s="2" t="s">
        <v>535</v>
      </c>
      <c r="BB17" s="2" t="s">
        <v>562</v>
      </c>
      <c r="BD17" t="s">
        <v>655</v>
      </c>
    </row>
    <row r="18" spans="1:56">
      <c r="A18" t="s">
        <v>72</v>
      </c>
      <c r="B18" s="2" t="s">
        <v>172</v>
      </c>
      <c r="C18" t="s">
        <v>252</v>
      </c>
      <c r="D18">
        <v>1991</v>
      </c>
      <c r="E18">
        <v>18</v>
      </c>
      <c r="F18" t="s">
        <v>264</v>
      </c>
      <c r="G18">
        <v>0.6</v>
      </c>
      <c r="H18">
        <v>0.2</v>
      </c>
      <c r="I18" t="s">
        <v>270</v>
      </c>
      <c r="J18" t="s">
        <v>275</v>
      </c>
      <c r="K18" t="s">
        <v>277</v>
      </c>
      <c r="L18" t="s">
        <v>277</v>
      </c>
      <c r="M18" t="s">
        <v>278</v>
      </c>
      <c r="N18" t="s">
        <v>276</v>
      </c>
      <c r="O18">
        <v>15</v>
      </c>
      <c r="P18">
        <v>12</v>
      </c>
      <c r="Q18" t="s">
        <v>282</v>
      </c>
      <c r="R18">
        <v>2</v>
      </c>
      <c r="S18" t="s">
        <v>289</v>
      </c>
      <c r="T18">
        <v>2</v>
      </c>
      <c r="U18" t="s">
        <v>291</v>
      </c>
      <c r="V18">
        <v>4</v>
      </c>
      <c r="W18" t="s">
        <v>295</v>
      </c>
      <c r="X18" t="s">
        <v>298</v>
      </c>
      <c r="Y18" t="s">
        <v>301</v>
      </c>
      <c r="Z18" t="s">
        <v>304</v>
      </c>
      <c r="AA18" t="s">
        <v>307</v>
      </c>
      <c r="AB18">
        <f>VALUE(R18)*6</f>
        <v>0</v>
      </c>
      <c r="AC18">
        <f>IFERROR(VLOOKUP(K18,PointsMap!D2:E3,2,0),0)</f>
        <v>0</v>
      </c>
      <c r="AD18">
        <f>IFERROR(VLOOKUP(M18,PointsMap!G2:H5,2,0),0)</f>
        <v>0</v>
      </c>
      <c r="AE18">
        <f>IFERROR(VLOOKUP(AA18,PointsMap!M2:N5,2,0),0)</f>
        <v>0</v>
      </c>
      <c r="AF18">
        <f>IFERROR(VLOOKUP(Z18,PointsMap!J2:K5,2,0),0)</f>
        <v>0</v>
      </c>
      <c r="AG18">
        <f>MIN(8,VALUE(T18)*2)</f>
        <v>0</v>
      </c>
      <c r="AH18">
        <f>IFERROR(VLOOKUP(Q18,PointsMap!P2:Q5,2,0),0)</f>
        <v>0</v>
      </c>
      <c r="AI18">
        <f>MIN(8,ROUND(VALUE(G18)*8,0))</f>
        <v>0</v>
      </c>
      <c r="AJ18">
        <f>IFERROR(VLOOKUP(I18,PointsMap!A2:B5,2,0),0)</f>
        <v>0</v>
      </c>
      <c r="AK18">
        <f>IFERROR(VLOOKUP(W18,PointsMap!S2:T4,2,0),0)</f>
        <v>0</v>
      </c>
      <c r="AL18">
        <f>IFERROR(VLOOKUP(X18,PointsMap!V2:W4,2,0),0)</f>
        <v>0</v>
      </c>
      <c r="AM18">
        <f>MIN(5,VALUE(V18))</f>
        <v>0</v>
      </c>
      <c r="AN18">
        <f>AB18</f>
        <v>0</v>
      </c>
      <c r="AO18">
        <f>AC18+AD18+AE18+AF18</f>
        <v>0</v>
      </c>
      <c r="AP18">
        <f>AG18+AH18</f>
        <v>0</v>
      </c>
      <c r="AQ18">
        <f>AI18+AJ18</f>
        <v>0</v>
      </c>
      <c r="AR18">
        <f>AK18+AL18+AM18</f>
        <v>0</v>
      </c>
      <c r="AS18">
        <f>AN18*Weights!B3/100+AO18*Weights!B4/100+AP18*Weights!B5/100+AQ18*Weights!B6/100+AR18*Weights!B7/100</f>
        <v>0</v>
      </c>
    </row>
    <row r="19" spans="1:56">
      <c r="A19" t="s">
        <v>73</v>
      </c>
      <c r="B19" s="2" t="s">
        <v>173</v>
      </c>
      <c r="C19" t="s">
        <v>254</v>
      </c>
      <c r="D19">
        <v>1993</v>
      </c>
      <c r="E19">
        <v>12</v>
      </c>
      <c r="F19" t="s">
        <v>265</v>
      </c>
      <c r="G19">
        <v>0.55</v>
      </c>
      <c r="H19">
        <v>0.25</v>
      </c>
      <c r="I19" t="s">
        <v>270</v>
      </c>
      <c r="J19" t="s">
        <v>275</v>
      </c>
      <c r="K19" t="s">
        <v>277</v>
      </c>
      <c r="L19" t="s">
        <v>277</v>
      </c>
      <c r="M19" t="s">
        <v>279</v>
      </c>
      <c r="N19" t="s">
        <v>276</v>
      </c>
      <c r="O19">
        <v>10</v>
      </c>
      <c r="P19">
        <v>8</v>
      </c>
      <c r="Q19" t="s">
        <v>282</v>
      </c>
      <c r="R19">
        <v>2</v>
      </c>
      <c r="S19" t="s">
        <v>290</v>
      </c>
      <c r="T19">
        <v>2</v>
      </c>
      <c r="U19" t="s">
        <v>291</v>
      </c>
      <c r="V19">
        <v>2</v>
      </c>
      <c r="W19" t="s">
        <v>283</v>
      </c>
      <c r="X19" t="s">
        <v>298</v>
      </c>
      <c r="Y19" t="s">
        <v>301</v>
      </c>
      <c r="Z19" t="s">
        <v>283</v>
      </c>
      <c r="AB19">
        <f>VALUE(R19)*6</f>
        <v>0</v>
      </c>
      <c r="AC19">
        <f>IFERROR(VLOOKUP(K19,PointsMap!D2:E3,2,0),0)</f>
        <v>0</v>
      </c>
      <c r="AD19">
        <f>IFERROR(VLOOKUP(M19,PointsMap!G2:H5,2,0),0)</f>
        <v>0</v>
      </c>
      <c r="AE19">
        <f>IFERROR(VLOOKUP(AA19,PointsMap!M2:N5,2,0),0)</f>
        <v>0</v>
      </c>
      <c r="AF19">
        <f>IFERROR(VLOOKUP(Z19,PointsMap!J2:K5,2,0),0)</f>
        <v>0</v>
      </c>
      <c r="AG19">
        <f>MIN(8,VALUE(T19)*2)</f>
        <v>0</v>
      </c>
      <c r="AH19">
        <f>IFERROR(VLOOKUP(Q19,PointsMap!P2:Q5,2,0),0)</f>
        <v>0</v>
      </c>
      <c r="AI19">
        <f>MIN(8,ROUND(VALUE(G19)*8,0))</f>
        <v>0</v>
      </c>
      <c r="AJ19">
        <f>IFERROR(VLOOKUP(I19,PointsMap!A2:B5,2,0),0)</f>
        <v>0</v>
      </c>
      <c r="AK19">
        <f>IFERROR(VLOOKUP(W19,PointsMap!S2:T4,2,0),0)</f>
        <v>0</v>
      </c>
      <c r="AL19">
        <f>IFERROR(VLOOKUP(X19,PointsMap!V2:W4,2,0),0)</f>
        <v>0</v>
      </c>
      <c r="AM19">
        <f>MIN(5,VALUE(V19))</f>
        <v>0</v>
      </c>
      <c r="AN19">
        <f>AB19</f>
        <v>0</v>
      </c>
      <c r="AO19">
        <f>AC19+AD19+AE19+AF19</f>
        <v>0</v>
      </c>
      <c r="AP19">
        <f>AG19+AH19</f>
        <v>0</v>
      </c>
      <c r="AQ19">
        <f>AI19+AJ19</f>
        <v>0</v>
      </c>
      <c r="AR19">
        <f>AK19+AL19+AM19</f>
        <v>0</v>
      </c>
      <c r="AS19">
        <f>AN19*Weights!B3/100+AO19*Weights!B4/100+AP19*Weights!B5/100+AQ19*Weights!B6/100+AR19*Weights!B7/100</f>
        <v>0</v>
      </c>
    </row>
    <row r="20" spans="1:56">
      <c r="A20" t="s">
        <v>74</v>
      </c>
      <c r="B20" s="2" t="s">
        <v>174</v>
      </c>
      <c r="C20" t="s">
        <v>257</v>
      </c>
      <c r="D20">
        <v>1989</v>
      </c>
      <c r="E20">
        <v>20</v>
      </c>
      <c r="F20" t="s">
        <v>263</v>
      </c>
      <c r="G20">
        <v>0.3</v>
      </c>
      <c r="H20">
        <v>0.5</v>
      </c>
      <c r="I20" t="s">
        <v>270</v>
      </c>
      <c r="J20" t="s">
        <v>275</v>
      </c>
      <c r="K20" t="s">
        <v>276</v>
      </c>
      <c r="L20" t="s">
        <v>276</v>
      </c>
      <c r="M20" t="s">
        <v>278</v>
      </c>
      <c r="N20" t="s">
        <v>276</v>
      </c>
      <c r="O20">
        <v>25</v>
      </c>
      <c r="P20">
        <v>40</v>
      </c>
      <c r="Q20" t="s">
        <v>281</v>
      </c>
      <c r="R20">
        <v>3</v>
      </c>
      <c r="S20" t="s">
        <v>287</v>
      </c>
      <c r="T20">
        <v>3</v>
      </c>
      <c r="U20" t="s">
        <v>291</v>
      </c>
      <c r="V20">
        <v>70</v>
      </c>
      <c r="W20" t="s">
        <v>295</v>
      </c>
      <c r="X20" t="s">
        <v>298</v>
      </c>
      <c r="Y20" t="s">
        <v>299</v>
      </c>
      <c r="Z20" t="s">
        <v>302</v>
      </c>
      <c r="AA20" t="s">
        <v>305</v>
      </c>
      <c r="AB20">
        <f>VALUE(R20)*6</f>
        <v>0</v>
      </c>
      <c r="AC20">
        <f>IFERROR(VLOOKUP(K20,PointsMap!D2:E3,2,0),0)</f>
        <v>0</v>
      </c>
      <c r="AD20">
        <f>IFERROR(VLOOKUP(M20,PointsMap!G2:H5,2,0),0)</f>
        <v>0</v>
      </c>
      <c r="AE20">
        <f>IFERROR(VLOOKUP(AA20,PointsMap!M2:N5,2,0),0)</f>
        <v>0</v>
      </c>
      <c r="AF20">
        <f>IFERROR(VLOOKUP(Z20,PointsMap!J2:K5,2,0),0)</f>
        <v>0</v>
      </c>
      <c r="AG20">
        <f>MIN(8,VALUE(T20)*2)</f>
        <v>0</v>
      </c>
      <c r="AH20">
        <f>IFERROR(VLOOKUP(Q20,PointsMap!P2:Q5,2,0),0)</f>
        <v>0</v>
      </c>
      <c r="AI20">
        <f>MIN(8,ROUND(VALUE(G20)*8,0))</f>
        <v>0</v>
      </c>
      <c r="AJ20">
        <f>IFERROR(VLOOKUP(I20,PointsMap!A2:B5,2,0),0)</f>
        <v>0</v>
      </c>
      <c r="AK20">
        <f>IFERROR(VLOOKUP(W20,PointsMap!S2:T4,2,0),0)</f>
        <v>0</v>
      </c>
      <c r="AL20">
        <f>IFERROR(VLOOKUP(X20,PointsMap!V2:W4,2,0),0)</f>
        <v>0</v>
      </c>
      <c r="AM20">
        <f>MIN(5,VALUE(V20))</f>
        <v>0</v>
      </c>
      <c r="AN20">
        <f>AB20</f>
        <v>0</v>
      </c>
      <c r="AO20">
        <f>AC20+AD20+AE20+AF20</f>
        <v>0</v>
      </c>
      <c r="AP20">
        <f>AG20+AH20</f>
        <v>0</v>
      </c>
      <c r="AQ20">
        <f>AI20+AJ20</f>
        <v>0</v>
      </c>
      <c r="AR20">
        <f>AK20+AL20+AM20</f>
        <v>0</v>
      </c>
      <c r="AS20">
        <f>AN20*Weights!B3/100+AO20*Weights!B4/100+AP20*Weights!B5/100+AQ20*Weights!B6/100+AR20*Weights!B7/100</f>
        <v>0</v>
      </c>
    </row>
    <row r="21" spans="1:56">
      <c r="A21" t="s">
        <v>75</v>
      </c>
      <c r="B21" s="2" t="s">
        <v>175</v>
      </c>
      <c r="C21" t="s">
        <v>257</v>
      </c>
      <c r="D21">
        <v>1973</v>
      </c>
      <c r="E21">
        <v>53</v>
      </c>
      <c r="F21" t="s">
        <v>263</v>
      </c>
      <c r="G21">
        <v>0.35</v>
      </c>
      <c r="H21">
        <v>0.35</v>
      </c>
      <c r="I21" t="s">
        <v>270</v>
      </c>
      <c r="J21" t="s">
        <v>275</v>
      </c>
      <c r="K21" t="s">
        <v>277</v>
      </c>
      <c r="L21" t="s">
        <v>277</v>
      </c>
      <c r="M21" t="s">
        <v>279</v>
      </c>
      <c r="N21" t="s">
        <v>276</v>
      </c>
      <c r="O21">
        <v>30</v>
      </c>
      <c r="P21">
        <v>20</v>
      </c>
      <c r="Q21" t="s">
        <v>282</v>
      </c>
      <c r="R21">
        <v>2</v>
      </c>
      <c r="S21" t="s">
        <v>290</v>
      </c>
      <c r="T21">
        <v>2</v>
      </c>
      <c r="U21" t="s">
        <v>291</v>
      </c>
      <c r="V21">
        <v>5</v>
      </c>
      <c r="W21" t="s">
        <v>283</v>
      </c>
      <c r="X21" t="s">
        <v>298</v>
      </c>
      <c r="Y21" t="s">
        <v>301</v>
      </c>
      <c r="Z21" t="s">
        <v>304</v>
      </c>
      <c r="AA21" t="s">
        <v>307</v>
      </c>
      <c r="AB21">
        <f>VALUE(R21)*6</f>
        <v>0</v>
      </c>
      <c r="AC21">
        <f>IFERROR(VLOOKUP(K21,PointsMap!D2:E3,2,0),0)</f>
        <v>0</v>
      </c>
      <c r="AD21">
        <f>IFERROR(VLOOKUP(M21,PointsMap!G2:H5,2,0),0)</f>
        <v>0</v>
      </c>
      <c r="AE21">
        <f>IFERROR(VLOOKUP(AA21,PointsMap!M2:N5,2,0),0)</f>
        <v>0</v>
      </c>
      <c r="AF21">
        <f>IFERROR(VLOOKUP(Z21,PointsMap!J2:K5,2,0),0)</f>
        <v>0</v>
      </c>
      <c r="AG21">
        <f>MIN(8,VALUE(T21)*2)</f>
        <v>0</v>
      </c>
      <c r="AH21">
        <f>IFERROR(VLOOKUP(Q21,PointsMap!P2:Q5,2,0),0)</f>
        <v>0</v>
      </c>
      <c r="AI21">
        <f>MIN(8,ROUND(VALUE(G21)*8,0))</f>
        <v>0</v>
      </c>
      <c r="AJ21">
        <f>IFERROR(VLOOKUP(I21,PointsMap!A2:B5,2,0),0)</f>
        <v>0</v>
      </c>
      <c r="AK21">
        <f>IFERROR(VLOOKUP(W21,PointsMap!S2:T4,2,0),0)</f>
        <v>0</v>
      </c>
      <c r="AL21">
        <f>IFERROR(VLOOKUP(X21,PointsMap!V2:W4,2,0),0)</f>
        <v>0</v>
      </c>
      <c r="AM21">
        <f>MIN(5,VALUE(V21))</f>
        <v>0</v>
      </c>
      <c r="AN21">
        <f>AB21</f>
        <v>0</v>
      </c>
      <c r="AO21">
        <f>AC21+AD21+AE21+AF21</f>
        <v>0</v>
      </c>
      <c r="AP21">
        <f>AG21+AH21</f>
        <v>0</v>
      </c>
      <c r="AQ21">
        <f>AI21+AJ21</f>
        <v>0</v>
      </c>
      <c r="AR21">
        <f>AK21+AL21+AM21</f>
        <v>0</v>
      </c>
      <c r="AS21">
        <f>AN21*Weights!B3/100+AO21*Weights!B4/100+AP21*Weights!B5/100+AQ21*Weights!B6/100+AR21*Weights!B7/100</f>
        <v>0</v>
      </c>
    </row>
    <row r="22" spans="1:56">
      <c r="A22" t="s">
        <v>76</v>
      </c>
      <c r="B22" s="2" t="s">
        <v>176</v>
      </c>
      <c r="C22" t="s">
        <v>258</v>
      </c>
      <c r="D22">
        <v>1926</v>
      </c>
      <c r="E22">
        <v>65</v>
      </c>
      <c r="F22" t="s">
        <v>262</v>
      </c>
      <c r="G22">
        <v>0.3</v>
      </c>
      <c r="H22">
        <v>0.35</v>
      </c>
      <c r="I22" t="s">
        <v>270</v>
      </c>
      <c r="J22" t="s">
        <v>273</v>
      </c>
      <c r="K22" t="s">
        <v>276</v>
      </c>
      <c r="L22" t="s">
        <v>276</v>
      </c>
      <c r="M22" t="s">
        <v>278</v>
      </c>
      <c r="N22" t="s">
        <v>276</v>
      </c>
      <c r="O22">
        <v>35</v>
      </c>
      <c r="P22">
        <v>60</v>
      </c>
      <c r="Q22" t="s">
        <v>281</v>
      </c>
      <c r="R22">
        <v>3</v>
      </c>
      <c r="S22" t="s">
        <v>287</v>
      </c>
      <c r="T22">
        <v>3</v>
      </c>
      <c r="U22" t="s">
        <v>291</v>
      </c>
      <c r="W22" t="s">
        <v>295</v>
      </c>
      <c r="X22" t="s">
        <v>297</v>
      </c>
      <c r="Y22" t="s">
        <v>299</v>
      </c>
      <c r="Z22" t="s">
        <v>302</v>
      </c>
      <c r="AA22" t="s">
        <v>305</v>
      </c>
      <c r="AB22">
        <f>VALUE(R22)*6</f>
        <v>0</v>
      </c>
      <c r="AC22">
        <f>IFERROR(VLOOKUP(K22,PointsMap!D2:E3,2,0),0)</f>
        <v>0</v>
      </c>
      <c r="AD22">
        <f>IFERROR(VLOOKUP(M22,PointsMap!G2:H5,2,0),0)</f>
        <v>0</v>
      </c>
      <c r="AE22">
        <f>IFERROR(VLOOKUP(AA22,PointsMap!M2:N5,2,0),0)</f>
        <v>0</v>
      </c>
      <c r="AF22">
        <f>IFERROR(VLOOKUP(Z22,PointsMap!J2:K5,2,0),0)</f>
        <v>0</v>
      </c>
      <c r="AG22">
        <f>MIN(8,VALUE(T22)*2)</f>
        <v>0</v>
      </c>
      <c r="AH22">
        <f>IFERROR(VLOOKUP(Q22,PointsMap!P2:Q5,2,0),0)</f>
        <v>0</v>
      </c>
      <c r="AI22">
        <f>MIN(8,ROUND(VALUE(G22)*8,0))</f>
        <v>0</v>
      </c>
      <c r="AJ22">
        <f>IFERROR(VLOOKUP(I22,PointsMap!A2:B5,2,0),0)</f>
        <v>0</v>
      </c>
      <c r="AK22">
        <f>IFERROR(VLOOKUP(W22,PointsMap!S2:T4,2,0),0)</f>
        <v>0</v>
      </c>
      <c r="AL22">
        <f>IFERROR(VLOOKUP(X22,PointsMap!V2:W4,2,0),0)</f>
        <v>0</v>
      </c>
      <c r="AM22">
        <f>MIN(5,VALUE(V22))</f>
        <v>0</v>
      </c>
      <c r="AN22">
        <f>AB22</f>
        <v>0</v>
      </c>
      <c r="AO22">
        <f>AC22+AD22+AE22+AF22</f>
        <v>0</v>
      </c>
      <c r="AP22">
        <f>AG22+AH22</f>
        <v>0</v>
      </c>
      <c r="AQ22">
        <f>AI22+AJ22</f>
        <v>0</v>
      </c>
      <c r="AR22">
        <f>AK22+AL22+AM22</f>
        <v>0</v>
      </c>
      <c r="AS22">
        <f>AN22*Weights!B3/100+AO22*Weights!B4/100+AP22*Weights!B5/100+AQ22*Weights!B6/100+AR22*Weights!B7/100</f>
        <v>0</v>
      </c>
      <c r="AT22" s="2" t="s">
        <v>320</v>
      </c>
      <c r="AY22" s="2" t="s">
        <v>447</v>
      </c>
      <c r="AZ22" s="2" t="s">
        <v>526</v>
      </c>
      <c r="BA22" s="2" t="s">
        <v>536</v>
      </c>
      <c r="BB22" s="2" t="s">
        <v>563</v>
      </c>
      <c r="BD22" t="s">
        <v>656</v>
      </c>
    </row>
    <row r="23" spans="1:56">
      <c r="A23" t="s">
        <v>77</v>
      </c>
      <c r="B23" s="2" t="s">
        <v>177</v>
      </c>
      <c r="C23" t="s">
        <v>258</v>
      </c>
      <c r="D23">
        <v>1963</v>
      </c>
      <c r="E23">
        <v>50</v>
      </c>
      <c r="F23" t="s">
        <v>262</v>
      </c>
      <c r="G23">
        <v>0.3</v>
      </c>
      <c r="H23">
        <v>0.4</v>
      </c>
      <c r="I23" t="s">
        <v>270</v>
      </c>
      <c r="J23" t="s">
        <v>273</v>
      </c>
      <c r="K23" t="s">
        <v>276</v>
      </c>
      <c r="L23" t="s">
        <v>276</v>
      </c>
      <c r="M23" t="s">
        <v>278</v>
      </c>
      <c r="N23" t="s">
        <v>276</v>
      </c>
      <c r="O23">
        <v>30</v>
      </c>
      <c r="P23">
        <v>55</v>
      </c>
      <c r="Q23" t="s">
        <v>281</v>
      </c>
      <c r="R23">
        <v>3</v>
      </c>
      <c r="S23" t="s">
        <v>287</v>
      </c>
      <c r="T23">
        <v>3</v>
      </c>
      <c r="U23" t="s">
        <v>292</v>
      </c>
      <c r="W23" t="s">
        <v>295</v>
      </c>
      <c r="X23" t="s">
        <v>297</v>
      </c>
      <c r="Y23" t="s">
        <v>299</v>
      </c>
      <c r="Z23" t="s">
        <v>302</v>
      </c>
      <c r="AA23" t="s">
        <v>305</v>
      </c>
      <c r="AB23">
        <f>VALUE(R23)*6</f>
        <v>0</v>
      </c>
      <c r="AC23">
        <f>IFERROR(VLOOKUP(K23,PointsMap!D2:E3,2,0),0)</f>
        <v>0</v>
      </c>
      <c r="AD23">
        <f>IFERROR(VLOOKUP(M23,PointsMap!G2:H5,2,0),0)</f>
        <v>0</v>
      </c>
      <c r="AE23">
        <f>IFERROR(VLOOKUP(AA23,PointsMap!M2:N5,2,0),0)</f>
        <v>0</v>
      </c>
      <c r="AF23">
        <f>IFERROR(VLOOKUP(Z23,PointsMap!J2:K5,2,0),0)</f>
        <v>0</v>
      </c>
      <c r="AG23">
        <f>MIN(8,VALUE(T23)*2)</f>
        <v>0</v>
      </c>
      <c r="AH23">
        <f>IFERROR(VLOOKUP(Q23,PointsMap!P2:Q5,2,0),0)</f>
        <v>0</v>
      </c>
      <c r="AI23">
        <f>MIN(8,ROUND(VALUE(G23)*8,0))</f>
        <v>0</v>
      </c>
      <c r="AJ23">
        <f>IFERROR(VLOOKUP(I23,PointsMap!A2:B5,2,0),0)</f>
        <v>0</v>
      </c>
      <c r="AK23">
        <f>IFERROR(VLOOKUP(W23,PointsMap!S2:T4,2,0),0)</f>
        <v>0</v>
      </c>
      <c r="AL23">
        <f>IFERROR(VLOOKUP(X23,PointsMap!V2:W4,2,0),0)</f>
        <v>0</v>
      </c>
      <c r="AM23">
        <f>MIN(5,VALUE(V23))</f>
        <v>0</v>
      </c>
      <c r="AN23">
        <f>AB23</f>
        <v>0</v>
      </c>
      <c r="AO23">
        <f>AC23+AD23+AE23+AF23</f>
        <v>0</v>
      </c>
      <c r="AP23">
        <f>AG23+AH23</f>
        <v>0</v>
      </c>
      <c r="AQ23">
        <f>AI23+AJ23</f>
        <v>0</v>
      </c>
      <c r="AR23">
        <f>AK23+AL23+AM23</f>
        <v>0</v>
      </c>
      <c r="AS23">
        <f>AN23*Weights!B3/100+AO23*Weights!B4/100+AP23*Weights!B5/100+AQ23*Weights!B6/100+AR23*Weights!B7/100</f>
        <v>0</v>
      </c>
      <c r="AT23" s="2" t="s">
        <v>177</v>
      </c>
      <c r="AY23" s="2" t="s">
        <v>448</v>
      </c>
      <c r="BB23" s="2" t="s">
        <v>564</v>
      </c>
      <c r="BD23" t="s">
        <v>657</v>
      </c>
    </row>
    <row r="24" spans="1:56">
      <c r="A24" t="s">
        <v>78</v>
      </c>
      <c r="B24" s="2" t="s">
        <v>178</v>
      </c>
      <c r="C24" t="s">
        <v>258</v>
      </c>
      <c r="D24">
        <v>1973</v>
      </c>
      <c r="E24">
        <v>65</v>
      </c>
      <c r="F24" t="s">
        <v>262</v>
      </c>
      <c r="G24">
        <v>0.25</v>
      </c>
      <c r="H24">
        <v>0.35</v>
      </c>
      <c r="I24" t="s">
        <v>270</v>
      </c>
      <c r="J24" t="s">
        <v>273</v>
      </c>
      <c r="K24" t="s">
        <v>276</v>
      </c>
      <c r="L24" t="s">
        <v>276</v>
      </c>
      <c r="M24" t="s">
        <v>279</v>
      </c>
      <c r="N24" t="s">
        <v>276</v>
      </c>
      <c r="O24">
        <v>25</v>
      </c>
      <c r="P24">
        <v>40</v>
      </c>
      <c r="Q24" t="s">
        <v>282</v>
      </c>
      <c r="R24">
        <v>2</v>
      </c>
      <c r="S24" t="s">
        <v>289</v>
      </c>
      <c r="T24">
        <v>2</v>
      </c>
      <c r="U24" t="s">
        <v>291</v>
      </c>
      <c r="W24" t="s">
        <v>283</v>
      </c>
      <c r="X24" t="s">
        <v>298</v>
      </c>
      <c r="Y24" t="s">
        <v>301</v>
      </c>
      <c r="Z24" t="s">
        <v>304</v>
      </c>
      <c r="AA24" t="s">
        <v>307</v>
      </c>
      <c r="AB24">
        <f>VALUE(R24)*6</f>
        <v>0</v>
      </c>
      <c r="AC24">
        <f>IFERROR(VLOOKUP(K24,PointsMap!D2:E3,2,0),0)</f>
        <v>0</v>
      </c>
      <c r="AD24">
        <f>IFERROR(VLOOKUP(M24,PointsMap!G2:H5,2,0),0)</f>
        <v>0</v>
      </c>
      <c r="AE24">
        <f>IFERROR(VLOOKUP(AA24,PointsMap!M2:N5,2,0),0)</f>
        <v>0</v>
      </c>
      <c r="AF24">
        <f>IFERROR(VLOOKUP(Z24,PointsMap!J2:K5,2,0),0)</f>
        <v>0</v>
      </c>
      <c r="AG24">
        <f>MIN(8,VALUE(T24)*2)</f>
        <v>0</v>
      </c>
      <c r="AH24">
        <f>IFERROR(VLOOKUP(Q24,PointsMap!P2:Q5,2,0),0)</f>
        <v>0</v>
      </c>
      <c r="AI24">
        <f>MIN(8,ROUND(VALUE(G24)*8,0))</f>
        <v>0</v>
      </c>
      <c r="AJ24">
        <f>IFERROR(VLOOKUP(I24,PointsMap!A2:B5,2,0),0)</f>
        <v>0</v>
      </c>
      <c r="AK24">
        <f>IFERROR(VLOOKUP(W24,PointsMap!S2:T4,2,0),0)</f>
        <v>0</v>
      </c>
      <c r="AL24">
        <f>IFERROR(VLOOKUP(X24,PointsMap!V2:W4,2,0),0)</f>
        <v>0</v>
      </c>
      <c r="AM24">
        <f>MIN(5,VALUE(V24))</f>
        <v>0</v>
      </c>
      <c r="AN24">
        <f>AB24</f>
        <v>0</v>
      </c>
      <c r="AO24">
        <f>AC24+AD24+AE24+AF24</f>
        <v>0</v>
      </c>
      <c r="AP24">
        <f>AG24+AH24</f>
        <v>0</v>
      </c>
      <c r="AQ24">
        <f>AI24+AJ24</f>
        <v>0</v>
      </c>
      <c r="AR24">
        <f>AK24+AL24+AM24</f>
        <v>0</v>
      </c>
      <c r="AS24">
        <f>AN24*Weights!B3/100+AO24*Weights!B4/100+AP24*Weights!B5/100+AQ24*Weights!B6/100+AR24*Weights!B7/100</f>
        <v>0</v>
      </c>
      <c r="AT24" s="2" t="s">
        <v>321</v>
      </c>
      <c r="AY24" s="2" t="s">
        <v>449</v>
      </c>
      <c r="BB24" s="2" t="s">
        <v>565</v>
      </c>
      <c r="BD24" t="s">
        <v>658</v>
      </c>
    </row>
    <row r="25" spans="1:56">
      <c r="A25" t="s">
        <v>79</v>
      </c>
      <c r="B25" s="2" t="s">
        <v>179</v>
      </c>
      <c r="C25" t="s">
        <v>253</v>
      </c>
      <c r="D25">
        <v>1849</v>
      </c>
      <c r="E25">
        <v>150</v>
      </c>
      <c r="F25" t="s">
        <v>262</v>
      </c>
      <c r="G25">
        <v>0.3</v>
      </c>
      <c r="H25">
        <v>0.3</v>
      </c>
      <c r="I25" t="s">
        <v>270</v>
      </c>
      <c r="J25" t="s">
        <v>273</v>
      </c>
      <c r="K25" t="s">
        <v>276</v>
      </c>
      <c r="L25" t="s">
        <v>276</v>
      </c>
      <c r="M25" t="s">
        <v>278</v>
      </c>
      <c r="N25" t="s">
        <v>276</v>
      </c>
      <c r="O25">
        <v>40</v>
      </c>
      <c r="P25">
        <v>60</v>
      </c>
      <c r="Q25" t="s">
        <v>281</v>
      </c>
      <c r="R25">
        <v>3</v>
      </c>
      <c r="S25" t="s">
        <v>287</v>
      </c>
      <c r="T25">
        <v>3</v>
      </c>
      <c r="U25" t="s">
        <v>291</v>
      </c>
      <c r="W25" t="s">
        <v>295</v>
      </c>
      <c r="X25" t="s">
        <v>297</v>
      </c>
      <c r="Y25" t="s">
        <v>299</v>
      </c>
      <c r="Z25" t="s">
        <v>302</v>
      </c>
      <c r="AA25" t="s">
        <v>305</v>
      </c>
      <c r="AB25">
        <f>VALUE(R25)*6</f>
        <v>0</v>
      </c>
      <c r="AC25">
        <f>IFERROR(VLOOKUP(K25,PointsMap!D2:E3,2,0),0)</f>
        <v>0</v>
      </c>
      <c r="AD25">
        <f>IFERROR(VLOOKUP(M25,PointsMap!G2:H5,2,0),0)</f>
        <v>0</v>
      </c>
      <c r="AE25">
        <f>IFERROR(VLOOKUP(AA25,PointsMap!M2:N5,2,0),0)</f>
        <v>0</v>
      </c>
      <c r="AF25">
        <f>IFERROR(VLOOKUP(Z25,PointsMap!J2:K5,2,0),0)</f>
        <v>0</v>
      </c>
      <c r="AG25">
        <f>MIN(8,VALUE(T25)*2)</f>
        <v>0</v>
      </c>
      <c r="AH25">
        <f>IFERROR(VLOOKUP(Q25,PointsMap!P2:Q5,2,0),0)</f>
        <v>0</v>
      </c>
      <c r="AI25">
        <f>MIN(8,ROUND(VALUE(G25)*8,0))</f>
        <v>0</v>
      </c>
      <c r="AJ25">
        <f>IFERROR(VLOOKUP(I25,PointsMap!A2:B5,2,0),0)</f>
        <v>0</v>
      </c>
      <c r="AK25">
        <f>IFERROR(VLOOKUP(W25,PointsMap!S2:T4,2,0),0)</f>
        <v>0</v>
      </c>
      <c r="AL25">
        <f>IFERROR(VLOOKUP(X25,PointsMap!V2:W4,2,0),0)</f>
        <v>0</v>
      </c>
      <c r="AM25">
        <f>MIN(5,VALUE(V25))</f>
        <v>0</v>
      </c>
      <c r="AN25">
        <f>AB25</f>
        <v>0</v>
      </c>
      <c r="AO25">
        <f>AC25+AD25+AE25+AF25</f>
        <v>0</v>
      </c>
      <c r="AP25">
        <f>AG25+AH25</f>
        <v>0</v>
      </c>
      <c r="AQ25">
        <f>AI25+AJ25</f>
        <v>0</v>
      </c>
      <c r="AR25">
        <f>AK25+AL25+AM25</f>
        <v>0</v>
      </c>
      <c r="AS25">
        <f>AN25*Weights!B3/100+AO25*Weights!B4/100+AP25*Weights!B5/100+AQ25*Weights!B6/100+AR25*Weights!B7/100</f>
        <v>0</v>
      </c>
      <c r="AT25" s="2" t="s">
        <v>322</v>
      </c>
      <c r="AY25" s="2" t="s">
        <v>450</v>
      </c>
      <c r="BB25" s="2" t="s">
        <v>566</v>
      </c>
      <c r="BD25" t="s">
        <v>659</v>
      </c>
    </row>
    <row r="26" spans="1:56">
      <c r="A26" t="s">
        <v>80</v>
      </c>
      <c r="B26" s="2" t="s">
        <v>180</v>
      </c>
      <c r="C26" t="s">
        <v>253</v>
      </c>
      <c r="D26">
        <v>1989</v>
      </c>
      <c r="E26">
        <v>120</v>
      </c>
      <c r="F26" t="s">
        <v>262</v>
      </c>
      <c r="G26">
        <v>0.3</v>
      </c>
      <c r="H26">
        <v>0.3</v>
      </c>
      <c r="I26" t="s">
        <v>270</v>
      </c>
      <c r="J26" t="s">
        <v>273</v>
      </c>
      <c r="K26" t="s">
        <v>276</v>
      </c>
      <c r="L26" t="s">
        <v>276</v>
      </c>
      <c r="M26" t="s">
        <v>279</v>
      </c>
      <c r="N26" t="s">
        <v>276</v>
      </c>
      <c r="O26">
        <v>30</v>
      </c>
      <c r="P26">
        <v>45</v>
      </c>
      <c r="Q26" t="s">
        <v>282</v>
      </c>
      <c r="R26">
        <v>2</v>
      </c>
      <c r="S26" t="s">
        <v>289</v>
      </c>
      <c r="T26">
        <v>2</v>
      </c>
      <c r="U26" t="s">
        <v>291</v>
      </c>
      <c r="W26" t="s">
        <v>283</v>
      </c>
      <c r="X26" t="s">
        <v>298</v>
      </c>
      <c r="Y26" t="s">
        <v>301</v>
      </c>
      <c r="Z26" t="s">
        <v>304</v>
      </c>
      <c r="AA26" t="s">
        <v>307</v>
      </c>
      <c r="AB26">
        <f>VALUE(R26)*6</f>
        <v>0</v>
      </c>
      <c r="AC26">
        <f>IFERROR(VLOOKUP(K26,PointsMap!D2:E3,2,0),0)</f>
        <v>0</v>
      </c>
      <c r="AD26">
        <f>IFERROR(VLOOKUP(M26,PointsMap!G2:H5,2,0),0)</f>
        <v>0</v>
      </c>
      <c r="AE26">
        <f>IFERROR(VLOOKUP(AA26,PointsMap!M2:N5,2,0),0)</f>
        <v>0</v>
      </c>
      <c r="AF26">
        <f>IFERROR(VLOOKUP(Z26,PointsMap!J2:K5,2,0),0)</f>
        <v>0</v>
      </c>
      <c r="AG26">
        <f>MIN(8,VALUE(T26)*2)</f>
        <v>0</v>
      </c>
      <c r="AH26">
        <f>IFERROR(VLOOKUP(Q26,PointsMap!P2:Q5,2,0),0)</f>
        <v>0</v>
      </c>
      <c r="AI26">
        <f>MIN(8,ROUND(VALUE(G26)*8,0))</f>
        <v>0</v>
      </c>
      <c r="AJ26">
        <f>IFERROR(VLOOKUP(I26,PointsMap!A2:B5,2,0),0)</f>
        <v>0</v>
      </c>
      <c r="AK26">
        <f>IFERROR(VLOOKUP(W26,PointsMap!S2:T4,2,0),0)</f>
        <v>0</v>
      </c>
      <c r="AL26">
        <f>IFERROR(VLOOKUP(X26,PointsMap!V2:W4,2,0),0)</f>
        <v>0</v>
      </c>
      <c r="AM26">
        <f>MIN(5,VALUE(V26))</f>
        <v>0</v>
      </c>
      <c r="AN26">
        <f>AB26</f>
        <v>0</v>
      </c>
      <c r="AO26">
        <f>AC26+AD26+AE26+AF26</f>
        <v>0</v>
      </c>
      <c r="AP26">
        <f>AG26+AH26</f>
        <v>0</v>
      </c>
      <c r="AQ26">
        <f>AI26+AJ26</f>
        <v>0</v>
      </c>
      <c r="AR26">
        <f>AK26+AL26+AM26</f>
        <v>0</v>
      </c>
      <c r="AS26">
        <f>AN26*Weights!B3/100+AO26*Weights!B4/100+AP26*Weights!B5/100+AQ26*Weights!B6/100+AR26*Weights!B7/100</f>
        <v>0</v>
      </c>
      <c r="AT26" s="2" t="s">
        <v>323</v>
      </c>
      <c r="AY26" s="2" t="s">
        <v>451</v>
      </c>
      <c r="BB26" s="2" t="s">
        <v>567</v>
      </c>
      <c r="BD26" t="s">
        <v>660</v>
      </c>
    </row>
    <row r="27" spans="1:56">
      <c r="A27" t="s">
        <v>81</v>
      </c>
      <c r="B27" s="2" t="s">
        <v>181</v>
      </c>
      <c r="C27" t="s">
        <v>253</v>
      </c>
      <c r="D27">
        <v>1987</v>
      </c>
      <c r="E27">
        <v>120</v>
      </c>
      <c r="F27" t="s">
        <v>262</v>
      </c>
      <c r="G27">
        <v>0.3</v>
      </c>
      <c r="H27">
        <v>0.3</v>
      </c>
      <c r="I27" t="s">
        <v>270</v>
      </c>
      <c r="J27" t="s">
        <v>273</v>
      </c>
      <c r="K27" t="s">
        <v>276</v>
      </c>
      <c r="L27" t="s">
        <v>276</v>
      </c>
      <c r="M27" t="s">
        <v>278</v>
      </c>
      <c r="N27" t="s">
        <v>276</v>
      </c>
      <c r="O27">
        <v>30</v>
      </c>
      <c r="P27">
        <v>40</v>
      </c>
      <c r="Q27" t="s">
        <v>282</v>
      </c>
      <c r="R27">
        <v>2</v>
      </c>
      <c r="S27" t="s">
        <v>289</v>
      </c>
      <c r="T27">
        <v>2</v>
      </c>
      <c r="U27" t="s">
        <v>291</v>
      </c>
      <c r="W27" t="s">
        <v>283</v>
      </c>
      <c r="X27" t="s">
        <v>298</v>
      </c>
      <c r="Y27" t="s">
        <v>301</v>
      </c>
      <c r="Z27" t="s">
        <v>304</v>
      </c>
      <c r="AA27" t="s">
        <v>307</v>
      </c>
      <c r="AB27">
        <f>VALUE(R27)*6</f>
        <v>0</v>
      </c>
      <c r="AC27">
        <f>IFERROR(VLOOKUP(K27,PointsMap!D2:E3,2,0),0)</f>
        <v>0</v>
      </c>
      <c r="AD27">
        <f>IFERROR(VLOOKUP(M27,PointsMap!G2:H5,2,0),0)</f>
        <v>0</v>
      </c>
      <c r="AE27">
        <f>IFERROR(VLOOKUP(AA27,PointsMap!M2:N5,2,0),0)</f>
        <v>0</v>
      </c>
      <c r="AF27">
        <f>IFERROR(VLOOKUP(Z27,PointsMap!J2:K5,2,0),0)</f>
        <v>0</v>
      </c>
      <c r="AG27">
        <f>MIN(8,VALUE(T27)*2)</f>
        <v>0</v>
      </c>
      <c r="AH27">
        <f>IFERROR(VLOOKUP(Q27,PointsMap!P2:Q5,2,0),0)</f>
        <v>0</v>
      </c>
      <c r="AI27">
        <f>MIN(8,ROUND(VALUE(G27)*8,0))</f>
        <v>0</v>
      </c>
      <c r="AJ27">
        <f>IFERROR(VLOOKUP(I27,PointsMap!A2:B5,2,0),0)</f>
        <v>0</v>
      </c>
      <c r="AK27">
        <f>IFERROR(VLOOKUP(W27,PointsMap!S2:T4,2,0),0)</f>
        <v>0</v>
      </c>
      <c r="AL27">
        <f>IFERROR(VLOOKUP(X27,PointsMap!V2:W4,2,0),0)</f>
        <v>0</v>
      </c>
      <c r="AM27">
        <f>MIN(5,VALUE(V27))</f>
        <v>0</v>
      </c>
      <c r="AN27">
        <f>AB27</f>
        <v>0</v>
      </c>
      <c r="AO27">
        <f>AC27+AD27+AE27+AF27</f>
        <v>0</v>
      </c>
      <c r="AP27">
        <f>AG27+AH27</f>
        <v>0</v>
      </c>
      <c r="AQ27">
        <f>AI27+AJ27</f>
        <v>0</v>
      </c>
      <c r="AR27">
        <f>AK27+AL27+AM27</f>
        <v>0</v>
      </c>
      <c r="AS27">
        <f>AN27*Weights!B3/100+AO27*Weights!B4/100+AP27*Weights!B5/100+AQ27*Weights!B6/100+AR27*Weights!B7/100</f>
        <v>0</v>
      </c>
      <c r="AT27" s="2" t="s">
        <v>324</v>
      </c>
      <c r="AY27" s="2" t="s">
        <v>452</v>
      </c>
      <c r="BB27" s="2" t="s">
        <v>568</v>
      </c>
      <c r="BD27" t="s">
        <v>661</v>
      </c>
    </row>
    <row r="28" spans="1:56">
      <c r="A28" t="s">
        <v>82</v>
      </c>
      <c r="B28" s="2" t="s">
        <v>182</v>
      </c>
      <c r="C28" t="s">
        <v>252</v>
      </c>
      <c r="D28">
        <v>1994</v>
      </c>
      <c r="E28">
        <v>90</v>
      </c>
      <c r="F28" t="s">
        <v>262</v>
      </c>
      <c r="G28">
        <v>0.3</v>
      </c>
      <c r="H28">
        <v>0.5</v>
      </c>
      <c r="I28" t="s">
        <v>269</v>
      </c>
      <c r="J28" t="s">
        <v>274</v>
      </c>
      <c r="K28" t="s">
        <v>276</v>
      </c>
      <c r="L28" t="s">
        <v>276</v>
      </c>
      <c r="M28" t="s">
        <v>278</v>
      </c>
      <c r="N28" t="s">
        <v>276</v>
      </c>
      <c r="O28">
        <v>60</v>
      </c>
      <c r="P28">
        <v>120</v>
      </c>
      <c r="Q28" t="s">
        <v>280</v>
      </c>
      <c r="R28">
        <v>4</v>
      </c>
      <c r="S28" t="s">
        <v>287</v>
      </c>
      <c r="T28">
        <v>4</v>
      </c>
      <c r="U28" t="s">
        <v>292</v>
      </c>
      <c r="W28" t="s">
        <v>295</v>
      </c>
      <c r="X28" t="s">
        <v>297</v>
      </c>
      <c r="Y28" t="s">
        <v>299</v>
      </c>
      <c r="Z28" t="s">
        <v>302</v>
      </c>
      <c r="AA28" t="s">
        <v>305</v>
      </c>
      <c r="AB28">
        <f>VALUE(R28)*6</f>
        <v>0</v>
      </c>
      <c r="AC28">
        <f>IFERROR(VLOOKUP(K28,PointsMap!D2:E3,2,0),0)</f>
        <v>0</v>
      </c>
      <c r="AD28">
        <f>IFERROR(VLOOKUP(M28,PointsMap!G2:H5,2,0),0)</f>
        <v>0</v>
      </c>
      <c r="AE28">
        <f>IFERROR(VLOOKUP(AA28,PointsMap!M2:N5,2,0),0)</f>
        <v>0</v>
      </c>
      <c r="AF28">
        <f>IFERROR(VLOOKUP(Z28,PointsMap!J2:K5,2,0),0)</f>
        <v>0</v>
      </c>
      <c r="AG28">
        <f>MIN(8,VALUE(T28)*2)</f>
        <v>0</v>
      </c>
      <c r="AH28">
        <f>IFERROR(VLOOKUP(Q28,PointsMap!P2:Q5,2,0),0)</f>
        <v>0</v>
      </c>
      <c r="AI28">
        <f>MIN(8,ROUND(VALUE(G28)*8,0))</f>
        <v>0</v>
      </c>
      <c r="AJ28">
        <f>IFERROR(VLOOKUP(I28,PointsMap!A2:B5,2,0),0)</f>
        <v>0</v>
      </c>
      <c r="AK28">
        <f>IFERROR(VLOOKUP(W28,PointsMap!S2:T4,2,0),0)</f>
        <v>0</v>
      </c>
      <c r="AL28">
        <f>IFERROR(VLOOKUP(X28,PointsMap!V2:W4,2,0),0)</f>
        <v>0</v>
      </c>
      <c r="AM28">
        <f>MIN(5,VALUE(V28))</f>
        <v>0</v>
      </c>
      <c r="AN28">
        <f>AB28</f>
        <v>0</v>
      </c>
      <c r="AO28">
        <f>AC28+AD28+AE28+AF28</f>
        <v>0</v>
      </c>
      <c r="AP28">
        <f>AG28+AH28</f>
        <v>0</v>
      </c>
      <c r="AQ28">
        <f>AI28+AJ28</f>
        <v>0</v>
      </c>
      <c r="AR28">
        <f>AK28+AL28+AM28</f>
        <v>0</v>
      </c>
      <c r="AS28">
        <f>AN28*Weights!B3/100+AO28*Weights!B4/100+AP28*Weights!B5/100+AQ28*Weights!B6/100+AR28*Weights!B7/100</f>
        <v>0</v>
      </c>
      <c r="AT28" s="2" t="s">
        <v>325</v>
      </c>
      <c r="AU28" s="2" t="s">
        <v>394</v>
      </c>
      <c r="AW28" s="2" t="s">
        <v>394</v>
      </c>
      <c r="AY28" s="2" t="s">
        <v>453</v>
      </c>
      <c r="BA28" s="2" t="s">
        <v>537</v>
      </c>
      <c r="BB28" s="2" t="s">
        <v>569</v>
      </c>
      <c r="BD28" t="s">
        <v>662</v>
      </c>
    </row>
    <row r="29" spans="1:56">
      <c r="A29" t="s">
        <v>83</v>
      </c>
      <c r="B29" s="2" t="s">
        <v>183</v>
      </c>
      <c r="C29" t="s">
        <v>252</v>
      </c>
      <c r="D29">
        <v>1981</v>
      </c>
      <c r="E29">
        <v>85</v>
      </c>
      <c r="F29" t="s">
        <v>262</v>
      </c>
      <c r="G29">
        <v>0.25</v>
      </c>
      <c r="H29">
        <v>0.55</v>
      </c>
      <c r="I29" t="s">
        <v>269</v>
      </c>
      <c r="J29" t="s">
        <v>274</v>
      </c>
      <c r="K29" t="s">
        <v>276</v>
      </c>
      <c r="L29" t="s">
        <v>276</v>
      </c>
      <c r="M29" t="s">
        <v>278</v>
      </c>
      <c r="N29" t="s">
        <v>276</v>
      </c>
      <c r="O29">
        <v>55</v>
      </c>
      <c r="P29">
        <v>110</v>
      </c>
      <c r="Q29" t="s">
        <v>280</v>
      </c>
      <c r="R29">
        <v>4</v>
      </c>
      <c r="S29" t="s">
        <v>287</v>
      </c>
      <c r="T29">
        <v>4</v>
      </c>
      <c r="U29" t="s">
        <v>292</v>
      </c>
      <c r="W29" t="s">
        <v>295</v>
      </c>
      <c r="X29" t="s">
        <v>297</v>
      </c>
      <c r="Y29" t="s">
        <v>299</v>
      </c>
      <c r="Z29" t="s">
        <v>302</v>
      </c>
      <c r="AA29" t="s">
        <v>305</v>
      </c>
      <c r="AB29">
        <f>VALUE(R29)*6</f>
        <v>0</v>
      </c>
      <c r="AC29">
        <f>IFERROR(VLOOKUP(K29,PointsMap!D2:E3,2,0),0)</f>
        <v>0</v>
      </c>
      <c r="AD29">
        <f>IFERROR(VLOOKUP(M29,PointsMap!G2:H5,2,0),0)</f>
        <v>0</v>
      </c>
      <c r="AE29">
        <f>IFERROR(VLOOKUP(AA29,PointsMap!M2:N5,2,0),0)</f>
        <v>0</v>
      </c>
      <c r="AF29">
        <f>IFERROR(VLOOKUP(Z29,PointsMap!J2:K5,2,0),0)</f>
        <v>0</v>
      </c>
      <c r="AG29">
        <f>MIN(8,VALUE(T29)*2)</f>
        <v>0</v>
      </c>
      <c r="AH29">
        <f>IFERROR(VLOOKUP(Q29,PointsMap!P2:Q5,2,0),0)</f>
        <v>0</v>
      </c>
      <c r="AI29">
        <f>MIN(8,ROUND(VALUE(G29)*8,0))</f>
        <v>0</v>
      </c>
      <c r="AJ29">
        <f>IFERROR(VLOOKUP(I29,PointsMap!A2:B5,2,0),0)</f>
        <v>0</v>
      </c>
      <c r="AK29">
        <f>IFERROR(VLOOKUP(W29,PointsMap!S2:T4,2,0),0)</f>
        <v>0</v>
      </c>
      <c r="AL29">
        <f>IFERROR(VLOOKUP(X29,PointsMap!V2:W4,2,0),0)</f>
        <v>0</v>
      </c>
      <c r="AM29">
        <f>MIN(5,VALUE(V29))</f>
        <v>0</v>
      </c>
      <c r="AN29">
        <f>AB29</f>
        <v>0</v>
      </c>
      <c r="AO29">
        <f>AC29+AD29+AE29+AF29</f>
        <v>0</v>
      </c>
      <c r="AP29">
        <f>AG29+AH29</f>
        <v>0</v>
      </c>
      <c r="AQ29">
        <f>AI29+AJ29</f>
        <v>0</v>
      </c>
      <c r="AR29">
        <f>AK29+AL29+AM29</f>
        <v>0</v>
      </c>
      <c r="AS29">
        <f>AN29*Weights!B3/100+AO29*Weights!B4/100+AP29*Weights!B5/100+AQ29*Weights!B6/100+AR29*Weights!B7/100</f>
        <v>0</v>
      </c>
      <c r="AT29" s="2" t="s">
        <v>326</v>
      </c>
      <c r="AU29" s="2" t="s">
        <v>395</v>
      </c>
      <c r="AW29" s="2" t="s">
        <v>431</v>
      </c>
      <c r="AY29" s="2" t="s">
        <v>454</v>
      </c>
      <c r="BA29" s="2" t="s">
        <v>538</v>
      </c>
      <c r="BB29" s="2" t="s">
        <v>570</v>
      </c>
      <c r="BD29" t="s">
        <v>663</v>
      </c>
    </row>
    <row r="30" spans="1:56">
      <c r="A30" t="s">
        <v>84</v>
      </c>
      <c r="B30" s="2" t="s">
        <v>184</v>
      </c>
      <c r="C30" t="s">
        <v>252</v>
      </c>
      <c r="D30">
        <v>1945</v>
      </c>
      <c r="E30">
        <v>70</v>
      </c>
      <c r="F30" t="s">
        <v>262</v>
      </c>
      <c r="G30">
        <v>0.3</v>
      </c>
      <c r="H30">
        <v>0.45</v>
      </c>
      <c r="I30" t="s">
        <v>269</v>
      </c>
      <c r="J30" t="s">
        <v>274</v>
      </c>
      <c r="K30" t="s">
        <v>276</v>
      </c>
      <c r="L30" t="s">
        <v>276</v>
      </c>
      <c r="M30" t="s">
        <v>278</v>
      </c>
      <c r="N30" t="s">
        <v>276</v>
      </c>
      <c r="O30">
        <v>40</v>
      </c>
      <c r="P30">
        <v>80</v>
      </c>
      <c r="Q30" t="s">
        <v>281</v>
      </c>
      <c r="R30">
        <v>3</v>
      </c>
      <c r="S30" t="s">
        <v>289</v>
      </c>
      <c r="T30">
        <v>3</v>
      </c>
      <c r="U30" t="s">
        <v>291</v>
      </c>
      <c r="W30" t="s">
        <v>295</v>
      </c>
      <c r="X30" t="s">
        <v>298</v>
      </c>
      <c r="Y30" t="s">
        <v>299</v>
      </c>
      <c r="Z30" t="s">
        <v>302</v>
      </c>
      <c r="AA30" t="s">
        <v>307</v>
      </c>
      <c r="AB30">
        <f>VALUE(R30)*6</f>
        <v>0</v>
      </c>
      <c r="AC30">
        <f>IFERROR(VLOOKUP(K30,PointsMap!D2:E3,2,0),0)</f>
        <v>0</v>
      </c>
      <c r="AD30">
        <f>IFERROR(VLOOKUP(M30,PointsMap!G2:H5,2,0),0)</f>
        <v>0</v>
      </c>
      <c r="AE30">
        <f>IFERROR(VLOOKUP(AA30,PointsMap!M2:N5,2,0),0)</f>
        <v>0</v>
      </c>
      <c r="AF30">
        <f>IFERROR(VLOOKUP(Z30,PointsMap!J2:K5,2,0),0)</f>
        <v>0</v>
      </c>
      <c r="AG30">
        <f>MIN(8,VALUE(T30)*2)</f>
        <v>0</v>
      </c>
      <c r="AH30">
        <f>IFERROR(VLOOKUP(Q30,PointsMap!P2:Q5,2,0),0)</f>
        <v>0</v>
      </c>
      <c r="AI30">
        <f>MIN(8,ROUND(VALUE(G30)*8,0))</f>
        <v>0</v>
      </c>
      <c r="AJ30">
        <f>IFERROR(VLOOKUP(I30,PointsMap!A2:B5,2,0),0)</f>
        <v>0</v>
      </c>
      <c r="AK30">
        <f>IFERROR(VLOOKUP(W30,PointsMap!S2:T4,2,0),0)</f>
        <v>0</v>
      </c>
      <c r="AL30">
        <f>IFERROR(VLOOKUP(X30,PointsMap!V2:W4,2,0),0)</f>
        <v>0</v>
      </c>
      <c r="AM30">
        <f>MIN(5,VALUE(V30))</f>
        <v>0</v>
      </c>
      <c r="AN30">
        <f>AB30</f>
        <v>0</v>
      </c>
      <c r="AO30">
        <f>AC30+AD30+AE30+AF30</f>
        <v>0</v>
      </c>
      <c r="AP30">
        <f>AG30+AH30</f>
        <v>0</v>
      </c>
      <c r="AQ30">
        <f>AI30+AJ30</f>
        <v>0</v>
      </c>
      <c r="AR30">
        <f>AK30+AL30+AM30</f>
        <v>0</v>
      </c>
      <c r="AS30">
        <f>AN30*Weights!B3/100+AO30*Weights!B4/100+AP30*Weights!B5/100+AQ30*Weights!B6/100+AR30*Weights!B7/100</f>
        <v>0</v>
      </c>
      <c r="AT30" s="2" t="s">
        <v>327</v>
      </c>
      <c r="AU30" s="2" t="s">
        <v>396</v>
      </c>
      <c r="AY30" s="2" t="s">
        <v>455</v>
      </c>
      <c r="BA30" s="2" t="s">
        <v>539</v>
      </c>
      <c r="BB30" s="2" t="s">
        <v>571</v>
      </c>
      <c r="BD30" t="s">
        <v>664</v>
      </c>
    </row>
    <row r="31" spans="1:56">
      <c r="A31" t="s">
        <v>85</v>
      </c>
      <c r="B31" s="2" t="s">
        <v>185</v>
      </c>
      <c r="C31" t="s">
        <v>252</v>
      </c>
      <c r="D31">
        <v>1976</v>
      </c>
      <c r="E31">
        <v>60</v>
      </c>
      <c r="F31" t="s">
        <v>262</v>
      </c>
      <c r="G31">
        <v>0.25</v>
      </c>
      <c r="H31">
        <v>0.55</v>
      </c>
      <c r="I31" t="s">
        <v>269</v>
      </c>
      <c r="J31" t="s">
        <v>274</v>
      </c>
      <c r="K31" t="s">
        <v>276</v>
      </c>
      <c r="L31" t="s">
        <v>276</v>
      </c>
      <c r="M31" t="s">
        <v>279</v>
      </c>
      <c r="N31" t="s">
        <v>276</v>
      </c>
      <c r="O31">
        <v>35</v>
      </c>
      <c r="P31">
        <v>70</v>
      </c>
      <c r="Q31" t="s">
        <v>281</v>
      </c>
      <c r="R31">
        <v>3</v>
      </c>
      <c r="S31" t="s">
        <v>289</v>
      </c>
      <c r="T31">
        <v>3</v>
      </c>
      <c r="U31" t="s">
        <v>291</v>
      </c>
      <c r="W31" t="s">
        <v>283</v>
      </c>
      <c r="X31" t="s">
        <v>298</v>
      </c>
      <c r="Y31" t="s">
        <v>301</v>
      </c>
      <c r="Z31" t="s">
        <v>304</v>
      </c>
      <c r="AA31" t="s">
        <v>307</v>
      </c>
      <c r="AB31">
        <f>VALUE(R31)*6</f>
        <v>0</v>
      </c>
      <c r="AC31">
        <f>IFERROR(VLOOKUP(K31,PointsMap!D2:E3,2,0),0)</f>
        <v>0</v>
      </c>
      <c r="AD31">
        <f>IFERROR(VLOOKUP(M31,PointsMap!G2:H5,2,0),0)</f>
        <v>0</v>
      </c>
      <c r="AE31">
        <f>IFERROR(VLOOKUP(AA31,PointsMap!M2:N5,2,0),0)</f>
        <v>0</v>
      </c>
      <c r="AF31">
        <f>IFERROR(VLOOKUP(Z31,PointsMap!J2:K5,2,0),0)</f>
        <v>0</v>
      </c>
      <c r="AG31">
        <f>MIN(8,VALUE(T31)*2)</f>
        <v>0</v>
      </c>
      <c r="AH31">
        <f>IFERROR(VLOOKUP(Q31,PointsMap!P2:Q5,2,0),0)</f>
        <v>0</v>
      </c>
      <c r="AI31">
        <f>MIN(8,ROUND(VALUE(G31)*8,0))</f>
        <v>0</v>
      </c>
      <c r="AJ31">
        <f>IFERROR(VLOOKUP(I31,PointsMap!A2:B5,2,0),0)</f>
        <v>0</v>
      </c>
      <c r="AK31">
        <f>IFERROR(VLOOKUP(W31,PointsMap!S2:T4,2,0),0)</f>
        <v>0</v>
      </c>
      <c r="AL31">
        <f>IFERROR(VLOOKUP(X31,PointsMap!V2:W4,2,0),0)</f>
        <v>0</v>
      </c>
      <c r="AM31">
        <f>MIN(5,VALUE(V31))</f>
        <v>0</v>
      </c>
      <c r="AN31">
        <f>AB31</f>
        <v>0</v>
      </c>
      <c r="AO31">
        <f>AC31+AD31+AE31+AF31</f>
        <v>0</v>
      </c>
      <c r="AP31">
        <f>AG31+AH31</f>
        <v>0</v>
      </c>
      <c r="AQ31">
        <f>AI31+AJ31</f>
        <v>0</v>
      </c>
      <c r="AR31">
        <f>AK31+AL31+AM31</f>
        <v>0</v>
      </c>
      <c r="AS31">
        <f>AN31*Weights!B3/100+AO31*Weights!B4/100+AP31*Weights!B5/100+AQ31*Weights!B6/100+AR31*Weights!B7/100</f>
        <v>0</v>
      </c>
      <c r="AT31" s="2" t="s">
        <v>328</v>
      </c>
      <c r="AY31" s="2" t="s">
        <v>456</v>
      </c>
      <c r="BA31" s="2" t="s">
        <v>540</v>
      </c>
      <c r="BB31" s="2" t="s">
        <v>572</v>
      </c>
      <c r="BD31" t="s">
        <v>665</v>
      </c>
    </row>
    <row r="32" spans="1:56">
      <c r="A32" t="s">
        <v>86</v>
      </c>
      <c r="B32" s="2" t="s">
        <v>186</v>
      </c>
      <c r="C32" t="s">
        <v>252</v>
      </c>
      <c r="D32">
        <v>1968</v>
      </c>
      <c r="E32">
        <v>100</v>
      </c>
      <c r="F32" t="s">
        <v>262</v>
      </c>
      <c r="G32">
        <v>0.25</v>
      </c>
      <c r="H32">
        <v>0.55</v>
      </c>
      <c r="I32" t="s">
        <v>269</v>
      </c>
      <c r="J32" t="s">
        <v>274</v>
      </c>
      <c r="K32" t="s">
        <v>276</v>
      </c>
      <c r="L32" t="s">
        <v>276</v>
      </c>
      <c r="M32" t="s">
        <v>278</v>
      </c>
      <c r="N32" t="s">
        <v>276</v>
      </c>
      <c r="O32">
        <v>70</v>
      </c>
      <c r="P32">
        <v>130</v>
      </c>
      <c r="Q32" t="s">
        <v>280</v>
      </c>
      <c r="R32">
        <v>4</v>
      </c>
      <c r="S32" t="s">
        <v>287</v>
      </c>
      <c r="T32">
        <v>4</v>
      </c>
      <c r="U32" t="s">
        <v>292</v>
      </c>
      <c r="W32" t="s">
        <v>295</v>
      </c>
      <c r="X32" t="s">
        <v>297</v>
      </c>
      <c r="Y32" t="s">
        <v>299</v>
      </c>
      <c r="Z32" t="s">
        <v>302</v>
      </c>
      <c r="AA32" t="s">
        <v>305</v>
      </c>
      <c r="AB32">
        <f>VALUE(R32)*6</f>
        <v>0</v>
      </c>
      <c r="AC32">
        <f>IFERROR(VLOOKUP(K32,PointsMap!D2:E3,2,0),0)</f>
        <v>0</v>
      </c>
      <c r="AD32">
        <f>IFERROR(VLOOKUP(M32,PointsMap!G2:H5,2,0),0)</f>
        <v>0</v>
      </c>
      <c r="AE32">
        <f>IFERROR(VLOOKUP(AA32,PointsMap!M2:N5,2,0),0)</f>
        <v>0</v>
      </c>
      <c r="AF32">
        <f>IFERROR(VLOOKUP(Z32,PointsMap!J2:K5,2,0),0)</f>
        <v>0</v>
      </c>
      <c r="AG32">
        <f>MIN(8,VALUE(T32)*2)</f>
        <v>0</v>
      </c>
      <c r="AH32">
        <f>IFERROR(VLOOKUP(Q32,PointsMap!P2:Q5,2,0),0)</f>
        <v>0</v>
      </c>
      <c r="AI32">
        <f>MIN(8,ROUND(VALUE(G32)*8,0))</f>
        <v>0</v>
      </c>
      <c r="AJ32">
        <f>IFERROR(VLOOKUP(I32,PointsMap!A2:B5,2,0),0)</f>
        <v>0</v>
      </c>
      <c r="AK32">
        <f>IFERROR(VLOOKUP(W32,PointsMap!S2:T4,2,0),0)</f>
        <v>0</v>
      </c>
      <c r="AL32">
        <f>IFERROR(VLOOKUP(X32,PointsMap!V2:W4,2,0),0)</f>
        <v>0</v>
      </c>
      <c r="AM32">
        <f>MIN(5,VALUE(V32))</f>
        <v>0</v>
      </c>
      <c r="AN32">
        <f>AB32</f>
        <v>0</v>
      </c>
      <c r="AO32">
        <f>AC32+AD32+AE32+AF32</f>
        <v>0</v>
      </c>
      <c r="AP32">
        <f>AG32+AH32</f>
        <v>0</v>
      </c>
      <c r="AQ32">
        <f>AI32+AJ32</f>
        <v>0</v>
      </c>
      <c r="AR32">
        <f>AK32+AL32+AM32</f>
        <v>0</v>
      </c>
      <c r="AS32">
        <f>AN32*Weights!B3/100+AO32*Weights!B4/100+AP32*Weights!B5/100+AQ32*Weights!B6/100+AR32*Weights!B7/100</f>
        <v>0</v>
      </c>
      <c r="AT32" s="2" t="s">
        <v>329</v>
      </c>
      <c r="AU32" s="2" t="s">
        <v>397</v>
      </c>
      <c r="AY32" s="2" t="s">
        <v>457</v>
      </c>
      <c r="BA32" s="2" t="s">
        <v>541</v>
      </c>
      <c r="BB32" s="2" t="s">
        <v>573</v>
      </c>
      <c r="BD32" t="s">
        <v>666</v>
      </c>
    </row>
    <row r="33" spans="1:56">
      <c r="A33" t="s">
        <v>87</v>
      </c>
      <c r="B33" s="2" t="s">
        <v>187</v>
      </c>
      <c r="C33" t="s">
        <v>252</v>
      </c>
      <c r="D33">
        <v>1988</v>
      </c>
      <c r="E33">
        <v>60</v>
      </c>
      <c r="F33" t="s">
        <v>262</v>
      </c>
      <c r="G33">
        <v>0.35</v>
      </c>
      <c r="H33">
        <v>0.45</v>
      </c>
      <c r="I33" t="s">
        <v>270</v>
      </c>
      <c r="J33" t="s">
        <v>274</v>
      </c>
      <c r="K33" t="s">
        <v>276</v>
      </c>
      <c r="L33" t="s">
        <v>276</v>
      </c>
      <c r="M33" t="s">
        <v>278</v>
      </c>
      <c r="N33" t="s">
        <v>276</v>
      </c>
      <c r="O33">
        <v>30</v>
      </c>
      <c r="P33">
        <v>50</v>
      </c>
      <c r="Q33" t="s">
        <v>281</v>
      </c>
      <c r="R33">
        <v>3</v>
      </c>
      <c r="S33" t="s">
        <v>289</v>
      </c>
      <c r="T33">
        <v>3</v>
      </c>
      <c r="U33" t="s">
        <v>291</v>
      </c>
      <c r="W33" t="s">
        <v>295</v>
      </c>
      <c r="X33" t="s">
        <v>298</v>
      </c>
      <c r="Y33" t="s">
        <v>299</v>
      </c>
      <c r="Z33" t="s">
        <v>302</v>
      </c>
      <c r="AA33" t="s">
        <v>307</v>
      </c>
      <c r="AB33">
        <f>VALUE(R33)*6</f>
        <v>0</v>
      </c>
      <c r="AC33">
        <f>IFERROR(VLOOKUP(K33,PointsMap!D2:E3,2,0),0)</f>
        <v>0</v>
      </c>
      <c r="AD33">
        <f>IFERROR(VLOOKUP(M33,PointsMap!G2:H5,2,0),0)</f>
        <v>0</v>
      </c>
      <c r="AE33">
        <f>IFERROR(VLOOKUP(AA33,PointsMap!M2:N5,2,0),0)</f>
        <v>0</v>
      </c>
      <c r="AF33">
        <f>IFERROR(VLOOKUP(Z33,PointsMap!J2:K5,2,0),0)</f>
        <v>0</v>
      </c>
      <c r="AG33">
        <f>MIN(8,VALUE(T33)*2)</f>
        <v>0</v>
      </c>
      <c r="AH33">
        <f>IFERROR(VLOOKUP(Q33,PointsMap!P2:Q5,2,0),0)</f>
        <v>0</v>
      </c>
      <c r="AI33">
        <f>MIN(8,ROUND(VALUE(G33)*8,0))</f>
        <v>0</v>
      </c>
      <c r="AJ33">
        <f>IFERROR(VLOOKUP(I33,PointsMap!A2:B5,2,0),0)</f>
        <v>0</v>
      </c>
      <c r="AK33">
        <f>IFERROR(VLOOKUP(W33,PointsMap!S2:T4,2,0),0)</f>
        <v>0</v>
      </c>
      <c r="AL33">
        <f>IFERROR(VLOOKUP(X33,PointsMap!V2:W4,2,0),0)</f>
        <v>0</v>
      </c>
      <c r="AM33">
        <f>MIN(5,VALUE(V33))</f>
        <v>0</v>
      </c>
      <c r="AN33">
        <f>AB33</f>
        <v>0</v>
      </c>
      <c r="AO33">
        <f>AC33+AD33+AE33+AF33</f>
        <v>0</v>
      </c>
      <c r="AP33">
        <f>AG33+AH33</f>
        <v>0</v>
      </c>
      <c r="AQ33">
        <f>AI33+AJ33</f>
        <v>0</v>
      </c>
      <c r="AR33">
        <f>AK33+AL33+AM33</f>
        <v>0</v>
      </c>
      <c r="AS33">
        <f>AN33*Weights!B3/100+AO33*Weights!B4/100+AP33*Weights!B5/100+AQ33*Weights!B6/100+AR33*Weights!B7/100</f>
        <v>0</v>
      </c>
      <c r="AT33" s="2" t="s">
        <v>330</v>
      </c>
      <c r="AY33" s="2" t="s">
        <v>458</v>
      </c>
      <c r="BA33" s="2" t="s">
        <v>542</v>
      </c>
      <c r="BB33" s="2" t="s">
        <v>574</v>
      </c>
      <c r="BD33" t="s">
        <v>667</v>
      </c>
    </row>
    <row r="34" spans="1:56">
      <c r="A34" t="s">
        <v>88</v>
      </c>
      <c r="B34" s="2" t="s">
        <v>188</v>
      </c>
      <c r="C34" t="s">
        <v>254</v>
      </c>
      <c r="D34">
        <v>1901</v>
      </c>
      <c r="E34">
        <v>50</v>
      </c>
      <c r="F34" t="s">
        <v>263</v>
      </c>
      <c r="G34">
        <v>0.45</v>
      </c>
      <c r="H34">
        <v>0.3</v>
      </c>
      <c r="I34" t="s">
        <v>270</v>
      </c>
      <c r="J34" t="s">
        <v>275</v>
      </c>
      <c r="K34" t="s">
        <v>277</v>
      </c>
      <c r="L34" t="s">
        <v>277</v>
      </c>
      <c r="M34" t="s">
        <v>279</v>
      </c>
      <c r="N34" t="s">
        <v>276</v>
      </c>
      <c r="O34">
        <v>20</v>
      </c>
      <c r="P34">
        <v>20</v>
      </c>
      <c r="Q34" t="s">
        <v>282</v>
      </c>
      <c r="R34">
        <v>2</v>
      </c>
      <c r="S34" t="s">
        <v>290</v>
      </c>
      <c r="T34">
        <v>2</v>
      </c>
      <c r="U34" t="s">
        <v>291</v>
      </c>
      <c r="W34" t="s">
        <v>283</v>
      </c>
      <c r="X34" t="s">
        <v>298</v>
      </c>
      <c r="Y34" t="s">
        <v>301</v>
      </c>
      <c r="Z34" t="s">
        <v>304</v>
      </c>
      <c r="AA34" t="s">
        <v>283</v>
      </c>
      <c r="AB34">
        <f>VALUE(R34)*6</f>
        <v>0</v>
      </c>
      <c r="AC34">
        <f>IFERROR(VLOOKUP(K34,PointsMap!D2:E3,2,0),0)</f>
        <v>0</v>
      </c>
      <c r="AD34">
        <f>IFERROR(VLOOKUP(M34,PointsMap!G2:H5,2,0),0)</f>
        <v>0</v>
      </c>
      <c r="AE34">
        <f>IFERROR(VLOOKUP(AA34,PointsMap!M2:N5,2,0),0)</f>
        <v>0</v>
      </c>
      <c r="AF34">
        <f>IFERROR(VLOOKUP(Z34,PointsMap!J2:K5,2,0),0)</f>
        <v>0</v>
      </c>
      <c r="AG34">
        <f>MIN(8,VALUE(T34)*2)</f>
        <v>0</v>
      </c>
      <c r="AH34">
        <f>IFERROR(VLOOKUP(Q34,PointsMap!P2:Q5,2,0),0)</f>
        <v>0</v>
      </c>
      <c r="AI34">
        <f>MIN(8,ROUND(VALUE(G34)*8,0))</f>
        <v>0</v>
      </c>
      <c r="AJ34">
        <f>IFERROR(VLOOKUP(I34,PointsMap!A2:B5,2,0),0)</f>
        <v>0</v>
      </c>
      <c r="AK34">
        <f>IFERROR(VLOOKUP(W34,PointsMap!S2:T4,2,0),0)</f>
        <v>0</v>
      </c>
      <c r="AL34">
        <f>IFERROR(VLOOKUP(X34,PointsMap!V2:W4,2,0),0)</f>
        <v>0</v>
      </c>
      <c r="AM34">
        <f>MIN(5,VALUE(V34))</f>
        <v>0</v>
      </c>
      <c r="AN34">
        <f>AB34</f>
        <v>0</v>
      </c>
      <c r="AO34">
        <f>AC34+AD34+AE34+AF34</f>
        <v>0</v>
      </c>
      <c r="AP34">
        <f>AG34+AH34</f>
        <v>0</v>
      </c>
      <c r="AQ34">
        <f>AI34+AJ34</f>
        <v>0</v>
      </c>
      <c r="AR34">
        <f>AK34+AL34+AM34</f>
        <v>0</v>
      </c>
      <c r="AS34">
        <f>AN34*Weights!B3/100+AO34*Weights!B4/100+AP34*Weights!B5/100+AQ34*Weights!B6/100+AR34*Weights!B7/100</f>
        <v>0</v>
      </c>
      <c r="AT34" s="2" t="s">
        <v>331</v>
      </c>
      <c r="AY34" s="2" t="s">
        <v>459</v>
      </c>
      <c r="BB34" s="2" t="s">
        <v>575</v>
      </c>
      <c r="BD34" t="s">
        <v>668</v>
      </c>
    </row>
    <row r="35" spans="1:56">
      <c r="A35" t="s">
        <v>89</v>
      </c>
      <c r="B35" s="2" t="s">
        <v>189</v>
      </c>
      <c r="C35" t="s">
        <v>254</v>
      </c>
      <c r="D35">
        <v>2023</v>
      </c>
      <c r="E35">
        <v>60</v>
      </c>
      <c r="F35" t="s">
        <v>263</v>
      </c>
      <c r="G35">
        <v>0.5</v>
      </c>
      <c r="H35">
        <v>0.3</v>
      </c>
      <c r="I35" t="s">
        <v>270</v>
      </c>
      <c r="J35" t="s">
        <v>275</v>
      </c>
      <c r="K35" t="s">
        <v>277</v>
      </c>
      <c r="L35" t="s">
        <v>277</v>
      </c>
      <c r="M35" t="s">
        <v>279</v>
      </c>
      <c r="N35" t="s">
        <v>276</v>
      </c>
      <c r="O35">
        <v>25</v>
      </c>
      <c r="P35">
        <v>25</v>
      </c>
      <c r="Q35" t="s">
        <v>282</v>
      </c>
      <c r="R35">
        <v>2</v>
      </c>
      <c r="S35" t="s">
        <v>290</v>
      </c>
      <c r="T35">
        <v>2</v>
      </c>
      <c r="U35" t="s">
        <v>291</v>
      </c>
      <c r="W35" t="s">
        <v>295</v>
      </c>
      <c r="X35" t="s">
        <v>297</v>
      </c>
      <c r="Y35" t="s">
        <v>301</v>
      </c>
      <c r="Z35" t="s">
        <v>304</v>
      </c>
      <c r="AA35" t="s">
        <v>307</v>
      </c>
      <c r="AB35">
        <f>VALUE(R35)*6</f>
        <v>0</v>
      </c>
      <c r="AC35">
        <f>IFERROR(VLOOKUP(K35,PointsMap!D2:E3,2,0),0)</f>
        <v>0</v>
      </c>
      <c r="AD35">
        <f>IFERROR(VLOOKUP(M35,PointsMap!G2:H5,2,0),0)</f>
        <v>0</v>
      </c>
      <c r="AE35">
        <f>IFERROR(VLOOKUP(AA35,PointsMap!M2:N5,2,0),0)</f>
        <v>0</v>
      </c>
      <c r="AF35">
        <f>IFERROR(VLOOKUP(Z35,PointsMap!J2:K5,2,0),0)</f>
        <v>0</v>
      </c>
      <c r="AG35">
        <f>MIN(8,VALUE(T35)*2)</f>
        <v>0</v>
      </c>
      <c r="AH35">
        <f>IFERROR(VLOOKUP(Q35,PointsMap!P2:Q5,2,0),0)</f>
        <v>0</v>
      </c>
      <c r="AI35">
        <f>MIN(8,ROUND(VALUE(G35)*8,0))</f>
        <v>0</v>
      </c>
      <c r="AJ35">
        <f>IFERROR(VLOOKUP(I35,PointsMap!A2:B5,2,0),0)</f>
        <v>0</v>
      </c>
      <c r="AK35">
        <f>IFERROR(VLOOKUP(W35,PointsMap!S2:T4,2,0),0)</f>
        <v>0</v>
      </c>
      <c r="AL35">
        <f>IFERROR(VLOOKUP(X35,PointsMap!V2:W4,2,0),0)</f>
        <v>0</v>
      </c>
      <c r="AM35">
        <f>MIN(5,VALUE(V35))</f>
        <v>0</v>
      </c>
      <c r="AN35">
        <f>AB35</f>
        <v>0</v>
      </c>
      <c r="AO35">
        <f>AC35+AD35+AE35+AF35</f>
        <v>0</v>
      </c>
      <c r="AP35">
        <f>AG35+AH35</f>
        <v>0</v>
      </c>
      <c r="AQ35">
        <f>AI35+AJ35</f>
        <v>0</v>
      </c>
      <c r="AR35">
        <f>AK35+AL35+AM35</f>
        <v>0</v>
      </c>
      <c r="AS35">
        <f>AN35*Weights!B3/100+AO35*Weights!B4/100+AP35*Weights!B5/100+AQ35*Weights!B6/100+AR35*Weights!B7/100</f>
        <v>0</v>
      </c>
      <c r="AT35" s="2" t="s">
        <v>332</v>
      </c>
      <c r="AY35" s="2" t="s">
        <v>460</v>
      </c>
      <c r="BB35" s="2" t="s">
        <v>576</v>
      </c>
      <c r="BD35" t="s">
        <v>669</v>
      </c>
    </row>
    <row r="36" spans="1:56">
      <c r="A36" t="s">
        <v>90</v>
      </c>
      <c r="B36" s="2" t="s">
        <v>190</v>
      </c>
      <c r="C36" t="s">
        <v>254</v>
      </c>
      <c r="D36">
        <v>1948</v>
      </c>
      <c r="E36">
        <v>50</v>
      </c>
      <c r="F36" t="s">
        <v>263</v>
      </c>
      <c r="G36">
        <v>0.5</v>
      </c>
      <c r="H36">
        <v>0.25</v>
      </c>
      <c r="I36" t="s">
        <v>270</v>
      </c>
      <c r="J36" t="s">
        <v>275</v>
      </c>
      <c r="K36" t="s">
        <v>277</v>
      </c>
      <c r="L36" t="s">
        <v>277</v>
      </c>
      <c r="M36" t="s">
        <v>279</v>
      </c>
      <c r="N36" t="s">
        <v>276</v>
      </c>
      <c r="O36">
        <v>25</v>
      </c>
      <c r="P36">
        <v>20</v>
      </c>
      <c r="Q36" t="s">
        <v>282</v>
      </c>
      <c r="R36">
        <v>2</v>
      </c>
      <c r="S36" t="s">
        <v>289</v>
      </c>
      <c r="T36">
        <v>2</v>
      </c>
      <c r="U36" t="s">
        <v>291</v>
      </c>
      <c r="W36" t="s">
        <v>283</v>
      </c>
      <c r="X36" t="s">
        <v>298</v>
      </c>
      <c r="Y36" t="s">
        <v>301</v>
      </c>
      <c r="Z36" t="s">
        <v>304</v>
      </c>
      <c r="AA36" t="s">
        <v>283</v>
      </c>
      <c r="AB36">
        <f>VALUE(R36)*6</f>
        <v>0</v>
      </c>
      <c r="AC36">
        <f>IFERROR(VLOOKUP(K36,PointsMap!D2:E3,2,0),0)</f>
        <v>0</v>
      </c>
      <c r="AD36">
        <f>IFERROR(VLOOKUP(M36,PointsMap!G2:H5,2,0),0)</f>
        <v>0</v>
      </c>
      <c r="AE36">
        <f>IFERROR(VLOOKUP(AA36,PointsMap!M2:N5,2,0),0)</f>
        <v>0</v>
      </c>
      <c r="AF36">
        <f>IFERROR(VLOOKUP(Z36,PointsMap!J2:K5,2,0),0)</f>
        <v>0</v>
      </c>
      <c r="AG36">
        <f>MIN(8,VALUE(T36)*2)</f>
        <v>0</v>
      </c>
      <c r="AH36">
        <f>IFERROR(VLOOKUP(Q36,PointsMap!P2:Q5,2,0),0)</f>
        <v>0</v>
      </c>
      <c r="AI36">
        <f>MIN(8,ROUND(VALUE(G36)*8,0))</f>
        <v>0</v>
      </c>
      <c r="AJ36">
        <f>IFERROR(VLOOKUP(I36,PointsMap!A2:B5,2,0),0)</f>
        <v>0</v>
      </c>
      <c r="AK36">
        <f>IFERROR(VLOOKUP(W36,PointsMap!S2:T4,2,0),0)</f>
        <v>0</v>
      </c>
      <c r="AL36">
        <f>IFERROR(VLOOKUP(X36,PointsMap!V2:W4,2,0),0)</f>
        <v>0</v>
      </c>
      <c r="AM36">
        <f>MIN(5,VALUE(V36))</f>
        <v>0</v>
      </c>
      <c r="AN36">
        <f>AB36</f>
        <v>0</v>
      </c>
      <c r="AO36">
        <f>AC36+AD36+AE36+AF36</f>
        <v>0</v>
      </c>
      <c r="AP36">
        <f>AG36+AH36</f>
        <v>0</v>
      </c>
      <c r="AQ36">
        <f>AI36+AJ36</f>
        <v>0</v>
      </c>
      <c r="AR36">
        <f>AK36+AL36+AM36</f>
        <v>0</v>
      </c>
      <c r="AS36">
        <f>AN36*Weights!B3/100+AO36*Weights!B4/100+AP36*Weights!B5/100+AQ36*Weights!B6/100+AR36*Weights!B7/100</f>
        <v>0</v>
      </c>
      <c r="AT36" s="2" t="s">
        <v>333</v>
      </c>
      <c r="AY36" s="2" t="s">
        <v>461</v>
      </c>
      <c r="BB36" s="2" t="s">
        <v>577</v>
      </c>
      <c r="BD36" t="s">
        <v>670</v>
      </c>
    </row>
    <row r="37" spans="1:56">
      <c r="A37" t="s">
        <v>91</v>
      </c>
      <c r="B37" s="2" t="s">
        <v>191</v>
      </c>
      <c r="C37" t="s">
        <v>254</v>
      </c>
      <c r="D37">
        <v>1995</v>
      </c>
      <c r="E37">
        <v>15</v>
      </c>
      <c r="F37" t="s">
        <v>264</v>
      </c>
      <c r="G37">
        <v>0.55</v>
      </c>
      <c r="H37">
        <v>0.25</v>
      </c>
      <c r="I37" t="s">
        <v>270</v>
      </c>
      <c r="J37" t="s">
        <v>275</v>
      </c>
      <c r="K37" t="s">
        <v>277</v>
      </c>
      <c r="L37" t="s">
        <v>277</v>
      </c>
      <c r="M37" t="s">
        <v>278</v>
      </c>
      <c r="N37" t="s">
        <v>276</v>
      </c>
      <c r="O37">
        <v>15</v>
      </c>
      <c r="P37">
        <v>12</v>
      </c>
      <c r="Q37" t="s">
        <v>282</v>
      </c>
      <c r="R37">
        <v>2</v>
      </c>
      <c r="S37" t="s">
        <v>289</v>
      </c>
      <c r="T37">
        <v>2</v>
      </c>
      <c r="U37" t="s">
        <v>291</v>
      </c>
      <c r="W37" t="s">
        <v>295</v>
      </c>
      <c r="X37" t="s">
        <v>297</v>
      </c>
      <c r="Y37" t="s">
        <v>301</v>
      </c>
      <c r="Z37" t="s">
        <v>302</v>
      </c>
      <c r="AA37" t="s">
        <v>307</v>
      </c>
      <c r="AB37">
        <f>VALUE(R37)*6</f>
        <v>0</v>
      </c>
      <c r="AC37">
        <f>IFERROR(VLOOKUP(K37,PointsMap!D2:E3,2,0),0)</f>
        <v>0</v>
      </c>
      <c r="AD37">
        <f>IFERROR(VLOOKUP(M37,PointsMap!G2:H5,2,0),0)</f>
        <v>0</v>
      </c>
      <c r="AE37">
        <f>IFERROR(VLOOKUP(AA37,PointsMap!M2:N5,2,0),0)</f>
        <v>0</v>
      </c>
      <c r="AF37">
        <f>IFERROR(VLOOKUP(Z37,PointsMap!J2:K5,2,0),0)</f>
        <v>0</v>
      </c>
      <c r="AG37">
        <f>MIN(8,VALUE(T37)*2)</f>
        <v>0</v>
      </c>
      <c r="AH37">
        <f>IFERROR(VLOOKUP(Q37,PointsMap!P2:Q5,2,0),0)</f>
        <v>0</v>
      </c>
      <c r="AI37">
        <f>MIN(8,ROUND(VALUE(G37)*8,0))</f>
        <v>0</v>
      </c>
      <c r="AJ37">
        <f>IFERROR(VLOOKUP(I37,PointsMap!A2:B5,2,0),0)</f>
        <v>0</v>
      </c>
      <c r="AK37">
        <f>IFERROR(VLOOKUP(W37,PointsMap!S2:T4,2,0),0)</f>
        <v>0</v>
      </c>
      <c r="AL37">
        <f>IFERROR(VLOOKUP(X37,PointsMap!V2:W4,2,0),0)</f>
        <v>0</v>
      </c>
      <c r="AM37">
        <f>MIN(5,VALUE(V37))</f>
        <v>0</v>
      </c>
      <c r="AN37">
        <f>AB37</f>
        <v>0</v>
      </c>
      <c r="AO37">
        <f>AC37+AD37+AE37+AF37</f>
        <v>0</v>
      </c>
      <c r="AP37">
        <f>AG37+AH37</f>
        <v>0</v>
      </c>
      <c r="AQ37">
        <f>AI37+AJ37</f>
        <v>0</v>
      </c>
      <c r="AR37">
        <f>AK37+AL37+AM37</f>
        <v>0</v>
      </c>
      <c r="AS37">
        <f>AN37*Weights!B3/100+AO37*Weights!B4/100+AP37*Weights!B5/100+AQ37*Weights!B6/100+AR37*Weights!B7/100</f>
        <v>0</v>
      </c>
      <c r="AT37" s="2" t="s">
        <v>334</v>
      </c>
      <c r="AY37" s="2" t="s">
        <v>462</v>
      </c>
      <c r="BB37" s="2" t="s">
        <v>578</v>
      </c>
      <c r="BD37" t="s">
        <v>671</v>
      </c>
    </row>
    <row r="38" spans="1:56">
      <c r="A38" t="s">
        <v>92</v>
      </c>
      <c r="B38" s="2" t="s">
        <v>192</v>
      </c>
      <c r="C38" t="s">
        <v>259</v>
      </c>
      <c r="D38">
        <v>1835</v>
      </c>
      <c r="E38">
        <v>20</v>
      </c>
      <c r="F38" t="s">
        <v>264</v>
      </c>
      <c r="G38">
        <v>0.55</v>
      </c>
      <c r="H38">
        <v>0.25</v>
      </c>
      <c r="I38" t="s">
        <v>270</v>
      </c>
      <c r="J38" t="s">
        <v>275</v>
      </c>
      <c r="K38" t="s">
        <v>277</v>
      </c>
      <c r="L38" t="s">
        <v>277</v>
      </c>
      <c r="M38" t="s">
        <v>279</v>
      </c>
      <c r="N38" t="s">
        <v>276</v>
      </c>
      <c r="O38">
        <v>12</v>
      </c>
      <c r="P38">
        <v>8</v>
      </c>
      <c r="Q38" t="s">
        <v>282</v>
      </c>
      <c r="R38">
        <v>2</v>
      </c>
      <c r="S38" t="s">
        <v>290</v>
      </c>
      <c r="T38">
        <v>2</v>
      </c>
      <c r="U38" t="s">
        <v>291</v>
      </c>
      <c r="W38" t="s">
        <v>283</v>
      </c>
      <c r="X38" t="s">
        <v>298</v>
      </c>
      <c r="Y38" t="s">
        <v>301</v>
      </c>
      <c r="Z38" t="s">
        <v>304</v>
      </c>
      <c r="AA38" t="s">
        <v>283</v>
      </c>
      <c r="AB38">
        <f>VALUE(R38)*6</f>
        <v>0</v>
      </c>
      <c r="AC38">
        <f>IFERROR(VLOOKUP(K38,PointsMap!D2:E3,2,0),0)</f>
        <v>0</v>
      </c>
      <c r="AD38">
        <f>IFERROR(VLOOKUP(M38,PointsMap!G2:H5,2,0),0)</f>
        <v>0</v>
      </c>
      <c r="AE38">
        <f>IFERROR(VLOOKUP(AA38,PointsMap!M2:N5,2,0),0)</f>
        <v>0</v>
      </c>
      <c r="AF38">
        <f>IFERROR(VLOOKUP(Z38,PointsMap!J2:K5,2,0),0)</f>
        <v>0</v>
      </c>
      <c r="AG38">
        <f>MIN(8,VALUE(T38)*2)</f>
        <v>0</v>
      </c>
      <c r="AH38">
        <f>IFERROR(VLOOKUP(Q38,PointsMap!P2:Q5,2,0),0)</f>
        <v>0</v>
      </c>
      <c r="AI38">
        <f>MIN(8,ROUND(VALUE(G38)*8,0))</f>
        <v>0</v>
      </c>
      <c r="AJ38">
        <f>IFERROR(VLOOKUP(I38,PointsMap!A2:B5,2,0),0)</f>
        <v>0</v>
      </c>
      <c r="AK38">
        <f>IFERROR(VLOOKUP(W38,PointsMap!S2:T4,2,0),0)</f>
        <v>0</v>
      </c>
      <c r="AL38">
        <f>IFERROR(VLOOKUP(X38,PointsMap!V2:W4,2,0),0)</f>
        <v>0</v>
      </c>
      <c r="AM38">
        <f>MIN(5,VALUE(V38))</f>
        <v>0</v>
      </c>
      <c r="AN38">
        <f>AB38</f>
        <v>0</v>
      </c>
      <c r="AO38">
        <f>AC38+AD38+AE38+AF38</f>
        <v>0</v>
      </c>
      <c r="AP38">
        <f>AG38+AH38</f>
        <v>0</v>
      </c>
      <c r="AQ38">
        <f>AI38+AJ38</f>
        <v>0</v>
      </c>
      <c r="AR38">
        <f>AK38+AL38+AM38</f>
        <v>0</v>
      </c>
      <c r="AS38">
        <f>AN38*Weights!B3/100+AO38*Weights!B4/100+AP38*Weights!B5/100+AQ38*Weights!B6/100+AR38*Weights!B7/100</f>
        <v>0</v>
      </c>
      <c r="AT38" s="2" t="s">
        <v>335</v>
      </c>
      <c r="AY38" s="2" t="s">
        <v>463</v>
      </c>
      <c r="BB38" s="2" t="s">
        <v>579</v>
      </c>
      <c r="BD38" t="s">
        <v>672</v>
      </c>
    </row>
    <row r="39" spans="1:56">
      <c r="A39" t="s">
        <v>93</v>
      </c>
      <c r="B39" s="2" t="s">
        <v>193</v>
      </c>
      <c r="C39" t="s">
        <v>254</v>
      </c>
      <c r="D39">
        <v>2001</v>
      </c>
      <c r="E39">
        <v>10</v>
      </c>
      <c r="F39" t="s">
        <v>264</v>
      </c>
      <c r="G39">
        <v>0.6</v>
      </c>
      <c r="H39">
        <v>0.25</v>
      </c>
      <c r="I39" t="s">
        <v>270</v>
      </c>
      <c r="J39" t="s">
        <v>275</v>
      </c>
      <c r="K39" t="s">
        <v>277</v>
      </c>
      <c r="L39" t="s">
        <v>277</v>
      </c>
      <c r="M39" t="s">
        <v>279</v>
      </c>
      <c r="N39" t="s">
        <v>276</v>
      </c>
      <c r="O39">
        <v>15</v>
      </c>
      <c r="P39">
        <v>10</v>
      </c>
      <c r="Q39" t="s">
        <v>282</v>
      </c>
      <c r="R39">
        <v>2</v>
      </c>
      <c r="S39" t="s">
        <v>290</v>
      </c>
      <c r="T39">
        <v>2</v>
      </c>
      <c r="U39" t="s">
        <v>291</v>
      </c>
      <c r="W39" t="s">
        <v>295</v>
      </c>
      <c r="X39" t="s">
        <v>297</v>
      </c>
      <c r="Y39" t="s">
        <v>301</v>
      </c>
      <c r="Z39" t="s">
        <v>304</v>
      </c>
      <c r="AA39" t="s">
        <v>283</v>
      </c>
      <c r="AB39">
        <f>VALUE(R39)*6</f>
        <v>0</v>
      </c>
      <c r="AC39">
        <f>IFERROR(VLOOKUP(K39,PointsMap!D2:E3,2,0),0)</f>
        <v>0</v>
      </c>
      <c r="AD39">
        <f>IFERROR(VLOOKUP(M39,PointsMap!G2:H5,2,0),0)</f>
        <v>0</v>
      </c>
      <c r="AE39">
        <f>IFERROR(VLOOKUP(AA39,PointsMap!M2:N5,2,0),0)</f>
        <v>0</v>
      </c>
      <c r="AF39">
        <f>IFERROR(VLOOKUP(Z39,PointsMap!J2:K5,2,0),0)</f>
        <v>0</v>
      </c>
      <c r="AG39">
        <f>MIN(8,VALUE(T39)*2)</f>
        <v>0</v>
      </c>
      <c r="AH39">
        <f>IFERROR(VLOOKUP(Q39,PointsMap!P2:Q5,2,0),0)</f>
        <v>0</v>
      </c>
      <c r="AI39">
        <f>MIN(8,ROUND(VALUE(G39)*8,0))</f>
        <v>0</v>
      </c>
      <c r="AJ39">
        <f>IFERROR(VLOOKUP(I39,PointsMap!A2:B5,2,0),0)</f>
        <v>0</v>
      </c>
      <c r="AK39">
        <f>IFERROR(VLOOKUP(W39,PointsMap!S2:T4,2,0),0)</f>
        <v>0</v>
      </c>
      <c r="AL39">
        <f>IFERROR(VLOOKUP(X39,PointsMap!V2:W4,2,0),0)</f>
        <v>0</v>
      </c>
      <c r="AM39">
        <f>MIN(5,VALUE(V39))</f>
        <v>0</v>
      </c>
      <c r="AN39">
        <f>AB39</f>
        <v>0</v>
      </c>
      <c r="AO39">
        <f>AC39+AD39+AE39+AF39</f>
        <v>0</v>
      </c>
      <c r="AP39">
        <f>AG39+AH39</f>
        <v>0</v>
      </c>
      <c r="AQ39">
        <f>AI39+AJ39</f>
        <v>0</v>
      </c>
      <c r="AR39">
        <f>AK39+AL39+AM39</f>
        <v>0</v>
      </c>
      <c r="AS39">
        <f>AN39*Weights!B3/100+AO39*Weights!B4/100+AP39*Weights!B5/100+AQ39*Weights!B6/100+AR39*Weights!B7/100</f>
        <v>0</v>
      </c>
      <c r="AT39" s="2" t="s">
        <v>336</v>
      </c>
      <c r="AY39" s="2" t="s">
        <v>464</v>
      </c>
      <c r="BB39" s="2" t="s">
        <v>580</v>
      </c>
      <c r="BD39" t="s">
        <v>673</v>
      </c>
    </row>
    <row r="40" spans="1:56">
      <c r="A40" t="s">
        <v>94</v>
      </c>
      <c r="B40" s="2" t="s">
        <v>194</v>
      </c>
      <c r="C40" t="s">
        <v>260</v>
      </c>
      <c r="D40">
        <v>1996</v>
      </c>
      <c r="E40">
        <v>12</v>
      </c>
      <c r="F40" t="s">
        <v>264</v>
      </c>
      <c r="G40">
        <v>0.6</v>
      </c>
      <c r="H40">
        <v>0.25</v>
      </c>
      <c r="I40" t="s">
        <v>270</v>
      </c>
      <c r="J40" t="s">
        <v>275</v>
      </c>
      <c r="K40" t="s">
        <v>277</v>
      </c>
      <c r="L40" t="s">
        <v>277</v>
      </c>
      <c r="M40" t="s">
        <v>279</v>
      </c>
      <c r="N40" t="s">
        <v>276</v>
      </c>
      <c r="O40">
        <v>12</v>
      </c>
      <c r="P40">
        <v>8</v>
      </c>
      <c r="Q40" t="s">
        <v>282</v>
      </c>
      <c r="R40">
        <v>2</v>
      </c>
      <c r="S40" t="s">
        <v>289</v>
      </c>
      <c r="T40">
        <v>2</v>
      </c>
      <c r="U40" t="s">
        <v>291</v>
      </c>
      <c r="W40" t="s">
        <v>283</v>
      </c>
      <c r="X40" t="s">
        <v>298</v>
      </c>
      <c r="Y40" t="s">
        <v>301</v>
      </c>
      <c r="Z40" t="s">
        <v>304</v>
      </c>
      <c r="AA40" t="s">
        <v>283</v>
      </c>
      <c r="AB40">
        <f>VALUE(R40)*6</f>
        <v>0</v>
      </c>
      <c r="AC40">
        <f>IFERROR(VLOOKUP(K40,PointsMap!D2:E3,2,0),0)</f>
        <v>0</v>
      </c>
      <c r="AD40">
        <f>IFERROR(VLOOKUP(M40,PointsMap!G2:H5,2,0),0)</f>
        <v>0</v>
      </c>
      <c r="AE40">
        <f>IFERROR(VLOOKUP(AA40,PointsMap!M2:N5,2,0),0)</f>
        <v>0</v>
      </c>
      <c r="AF40">
        <f>IFERROR(VLOOKUP(Z40,PointsMap!J2:K5,2,0),0)</f>
        <v>0</v>
      </c>
      <c r="AG40">
        <f>MIN(8,VALUE(T40)*2)</f>
        <v>0</v>
      </c>
      <c r="AH40">
        <f>IFERROR(VLOOKUP(Q40,PointsMap!P2:Q5,2,0),0)</f>
        <v>0</v>
      </c>
      <c r="AI40">
        <f>MIN(8,ROUND(VALUE(G40)*8,0))</f>
        <v>0</v>
      </c>
      <c r="AJ40">
        <f>IFERROR(VLOOKUP(I40,PointsMap!A2:B5,2,0),0)</f>
        <v>0</v>
      </c>
      <c r="AK40">
        <f>IFERROR(VLOOKUP(W40,PointsMap!S2:T4,2,0),0)</f>
        <v>0</v>
      </c>
      <c r="AL40">
        <f>IFERROR(VLOOKUP(X40,PointsMap!V2:W4,2,0),0)</f>
        <v>0</v>
      </c>
      <c r="AM40">
        <f>MIN(5,VALUE(V40))</f>
        <v>0</v>
      </c>
      <c r="AN40">
        <f>AB40</f>
        <v>0</v>
      </c>
      <c r="AO40">
        <f>AC40+AD40+AE40+AF40</f>
        <v>0</v>
      </c>
      <c r="AP40">
        <f>AG40+AH40</f>
        <v>0</v>
      </c>
      <c r="AQ40">
        <f>AI40+AJ40</f>
        <v>0</v>
      </c>
      <c r="AR40">
        <f>AK40+AL40+AM40</f>
        <v>0</v>
      </c>
      <c r="AS40">
        <f>AN40*Weights!B3/100+AO40*Weights!B4/100+AP40*Weights!B5/100+AQ40*Weights!B6/100+AR40*Weights!B7/100</f>
        <v>0</v>
      </c>
      <c r="AT40" s="2" t="s">
        <v>337</v>
      </c>
      <c r="AY40" s="2" t="s">
        <v>465</v>
      </c>
      <c r="BB40" s="2" t="s">
        <v>581</v>
      </c>
      <c r="BD40" t="s">
        <v>674</v>
      </c>
    </row>
    <row r="41" spans="1:56">
      <c r="A41" t="s">
        <v>95</v>
      </c>
      <c r="B41" s="2" t="s">
        <v>195</v>
      </c>
      <c r="C41" t="s">
        <v>255</v>
      </c>
      <c r="D41">
        <v>1964</v>
      </c>
      <c r="E41">
        <v>15</v>
      </c>
      <c r="F41" t="s">
        <v>264</v>
      </c>
      <c r="G41">
        <v>0.4</v>
      </c>
      <c r="H41">
        <v>0.4</v>
      </c>
      <c r="I41" t="s">
        <v>270</v>
      </c>
      <c r="J41" t="s">
        <v>275</v>
      </c>
      <c r="K41" t="s">
        <v>276</v>
      </c>
      <c r="L41" t="s">
        <v>276</v>
      </c>
      <c r="M41" t="s">
        <v>278</v>
      </c>
      <c r="N41" t="s">
        <v>276</v>
      </c>
      <c r="O41">
        <v>10</v>
      </c>
      <c r="P41">
        <v>10</v>
      </c>
      <c r="Q41" t="s">
        <v>282</v>
      </c>
      <c r="R41">
        <v>2</v>
      </c>
      <c r="S41" t="s">
        <v>289</v>
      </c>
      <c r="T41">
        <v>2</v>
      </c>
      <c r="U41" t="s">
        <v>291</v>
      </c>
      <c r="W41" t="s">
        <v>295</v>
      </c>
      <c r="X41" t="s">
        <v>298</v>
      </c>
      <c r="Y41" t="s">
        <v>299</v>
      </c>
      <c r="Z41" t="s">
        <v>302</v>
      </c>
      <c r="AA41" t="s">
        <v>307</v>
      </c>
      <c r="AB41">
        <f>VALUE(R41)*6</f>
        <v>0</v>
      </c>
      <c r="AC41">
        <f>IFERROR(VLOOKUP(K41,PointsMap!D2:E3,2,0),0)</f>
        <v>0</v>
      </c>
      <c r="AD41">
        <f>IFERROR(VLOOKUP(M41,PointsMap!G2:H5,2,0),0)</f>
        <v>0</v>
      </c>
      <c r="AE41">
        <f>IFERROR(VLOOKUP(AA41,PointsMap!M2:N5,2,0),0)</f>
        <v>0</v>
      </c>
      <c r="AF41">
        <f>IFERROR(VLOOKUP(Z41,PointsMap!J2:K5,2,0),0)</f>
        <v>0</v>
      </c>
      <c r="AG41">
        <f>MIN(8,VALUE(T41)*2)</f>
        <v>0</v>
      </c>
      <c r="AH41">
        <f>IFERROR(VLOOKUP(Q41,PointsMap!P2:Q5,2,0),0)</f>
        <v>0</v>
      </c>
      <c r="AI41">
        <f>MIN(8,ROUND(VALUE(G41)*8,0))</f>
        <v>0</v>
      </c>
      <c r="AJ41">
        <f>IFERROR(VLOOKUP(I41,PointsMap!A2:B5,2,0),0)</f>
        <v>0</v>
      </c>
      <c r="AK41">
        <f>IFERROR(VLOOKUP(W41,PointsMap!S2:T4,2,0),0)</f>
        <v>0</v>
      </c>
      <c r="AL41">
        <f>IFERROR(VLOOKUP(X41,PointsMap!V2:W4,2,0),0)</f>
        <v>0</v>
      </c>
      <c r="AM41">
        <f>MIN(5,VALUE(V41))</f>
        <v>0</v>
      </c>
      <c r="AN41">
        <f>AB41</f>
        <v>0</v>
      </c>
      <c r="AO41">
        <f>AC41+AD41+AE41+AF41</f>
        <v>0</v>
      </c>
      <c r="AP41">
        <f>AG41+AH41</f>
        <v>0</v>
      </c>
      <c r="AQ41">
        <f>AI41+AJ41</f>
        <v>0</v>
      </c>
      <c r="AR41">
        <f>AK41+AL41+AM41</f>
        <v>0</v>
      </c>
      <c r="AS41">
        <f>AN41*Weights!B3/100+AO41*Weights!B4/100+AP41*Weights!B5/100+AQ41*Weights!B6/100+AR41*Weights!B7/100</f>
        <v>0</v>
      </c>
      <c r="AT41" s="2" t="s">
        <v>338</v>
      </c>
      <c r="AU41" s="2" t="s">
        <v>398</v>
      </c>
      <c r="AY41" s="2" t="s">
        <v>466</v>
      </c>
      <c r="BA41" s="2" t="s">
        <v>543</v>
      </c>
      <c r="BB41" s="2" t="s">
        <v>582</v>
      </c>
      <c r="BD41" t="s">
        <v>675</v>
      </c>
    </row>
    <row r="42" spans="1:56">
      <c r="A42" t="s">
        <v>96</v>
      </c>
      <c r="B42" s="2" t="s">
        <v>196</v>
      </c>
      <c r="C42" t="s">
        <v>252</v>
      </c>
      <c r="D42">
        <v>1986</v>
      </c>
      <c r="AB42">
        <f>VALUE(R42)*6</f>
        <v>0</v>
      </c>
      <c r="AC42">
        <f>IFERROR(VLOOKUP(K42,PointsMap!D2:E3,2,0),0)</f>
        <v>0</v>
      </c>
      <c r="AD42">
        <f>IFERROR(VLOOKUP(M42,PointsMap!G2:H5,2,0),0)</f>
        <v>0</v>
      </c>
      <c r="AE42">
        <f>IFERROR(VLOOKUP(AA42,PointsMap!M2:N5,2,0),0)</f>
        <v>0</v>
      </c>
      <c r="AF42">
        <f>IFERROR(VLOOKUP(Z42,PointsMap!J2:K5,2,0),0)</f>
        <v>0</v>
      </c>
      <c r="AG42">
        <f>MIN(8,VALUE(T42)*2)</f>
        <v>0</v>
      </c>
      <c r="AH42">
        <f>IFERROR(VLOOKUP(Q42,PointsMap!P2:Q5,2,0),0)</f>
        <v>0</v>
      </c>
      <c r="AI42">
        <f>MIN(8,ROUND(VALUE(G42)*8,0))</f>
        <v>0</v>
      </c>
      <c r="AJ42">
        <f>IFERROR(VLOOKUP(I42,PointsMap!A2:B5,2,0),0)</f>
        <v>0</v>
      </c>
      <c r="AK42">
        <f>IFERROR(VLOOKUP(W42,PointsMap!S2:T4,2,0),0)</f>
        <v>0</v>
      </c>
      <c r="AL42">
        <f>IFERROR(VLOOKUP(X42,PointsMap!V2:W4,2,0),0)</f>
        <v>0</v>
      </c>
      <c r="AM42">
        <f>MIN(5,VALUE(V42))</f>
        <v>0</v>
      </c>
      <c r="AN42">
        <f>AB42</f>
        <v>0</v>
      </c>
      <c r="AO42">
        <f>AC42+AD42+AE42+AF42</f>
        <v>0</v>
      </c>
      <c r="AP42">
        <f>AG42+AH42</f>
        <v>0</v>
      </c>
      <c r="AQ42">
        <f>AI42+AJ42</f>
        <v>0</v>
      </c>
      <c r="AR42">
        <f>AK42+AL42+AM42</f>
        <v>0</v>
      </c>
      <c r="AS42">
        <f>AN42*Weights!B3/100+AO42*Weights!B4/100+AP42*Weights!B5/100+AQ42*Weights!B6/100+AR42*Weights!B7/100</f>
        <v>0</v>
      </c>
      <c r="AT42" s="2" t="s">
        <v>339</v>
      </c>
      <c r="AU42" s="2" t="s">
        <v>399</v>
      </c>
      <c r="AY42" s="2" t="s">
        <v>467</v>
      </c>
      <c r="BB42" s="2" t="s">
        <v>583</v>
      </c>
      <c r="BD42" t="s">
        <v>676</v>
      </c>
    </row>
    <row r="43" spans="1:56">
      <c r="A43" t="s">
        <v>97</v>
      </c>
      <c r="B43" s="2" t="s">
        <v>197</v>
      </c>
      <c r="C43" t="s">
        <v>257</v>
      </c>
      <c r="D43">
        <v>2022</v>
      </c>
      <c r="F43" t="s">
        <v>262</v>
      </c>
      <c r="AB43">
        <f>VALUE(R43)*6</f>
        <v>0</v>
      </c>
      <c r="AC43">
        <f>IFERROR(VLOOKUP(K43,PointsMap!D2:E3,2,0),0)</f>
        <v>0</v>
      </c>
      <c r="AD43">
        <f>IFERROR(VLOOKUP(M43,PointsMap!G2:H5,2,0),0)</f>
        <v>0</v>
      </c>
      <c r="AE43">
        <f>IFERROR(VLOOKUP(AA43,PointsMap!M2:N5,2,0),0)</f>
        <v>0</v>
      </c>
      <c r="AF43">
        <f>IFERROR(VLOOKUP(Z43,PointsMap!J2:K5,2,0),0)</f>
        <v>0</v>
      </c>
      <c r="AG43">
        <f>MIN(8,VALUE(T43)*2)</f>
        <v>0</v>
      </c>
      <c r="AH43">
        <f>IFERROR(VLOOKUP(Q43,PointsMap!P2:Q5,2,0),0)</f>
        <v>0</v>
      </c>
      <c r="AI43">
        <f>MIN(8,ROUND(VALUE(G43)*8,0))</f>
        <v>0</v>
      </c>
      <c r="AJ43">
        <f>IFERROR(VLOOKUP(I43,PointsMap!A2:B5,2,0),0)</f>
        <v>0</v>
      </c>
      <c r="AK43">
        <f>IFERROR(VLOOKUP(W43,PointsMap!S2:T4,2,0),0)</f>
        <v>0</v>
      </c>
      <c r="AL43">
        <f>IFERROR(VLOOKUP(X43,PointsMap!V2:W4,2,0),0)</f>
        <v>0</v>
      </c>
      <c r="AM43">
        <f>MIN(5,VALUE(V43))</f>
        <v>0</v>
      </c>
      <c r="AN43">
        <f>AB43</f>
        <v>0</v>
      </c>
      <c r="AO43">
        <f>AC43+AD43+AE43+AF43</f>
        <v>0</v>
      </c>
      <c r="AP43">
        <f>AG43+AH43</f>
        <v>0</v>
      </c>
      <c r="AQ43">
        <f>AI43+AJ43</f>
        <v>0</v>
      </c>
      <c r="AR43">
        <f>AK43+AL43+AM43</f>
        <v>0</v>
      </c>
      <c r="AS43">
        <f>AN43*Weights!B3/100+AO43*Weights!B4/100+AP43*Weights!B5/100+AQ43*Weights!B6/100+AR43*Weights!B7/100</f>
        <v>0</v>
      </c>
      <c r="AT43" s="2" t="s">
        <v>340</v>
      </c>
      <c r="AU43" s="2" t="s">
        <v>400</v>
      </c>
      <c r="AY43" s="2" t="s">
        <v>468</v>
      </c>
      <c r="BB43" s="2" t="s">
        <v>584</v>
      </c>
      <c r="BD43" t="s">
        <v>677</v>
      </c>
    </row>
    <row r="44" spans="1:56">
      <c r="A44" t="s">
        <v>98</v>
      </c>
      <c r="B44" s="2" t="s">
        <v>198</v>
      </c>
      <c r="C44" t="s">
        <v>257</v>
      </c>
      <c r="D44">
        <v>1976</v>
      </c>
      <c r="F44" t="s">
        <v>262</v>
      </c>
      <c r="AB44">
        <f>VALUE(R44)*6</f>
        <v>0</v>
      </c>
      <c r="AC44">
        <f>IFERROR(VLOOKUP(K44,PointsMap!D2:E3,2,0),0)</f>
        <v>0</v>
      </c>
      <c r="AD44">
        <f>IFERROR(VLOOKUP(M44,PointsMap!G2:H5,2,0),0)</f>
        <v>0</v>
      </c>
      <c r="AE44">
        <f>IFERROR(VLOOKUP(AA44,PointsMap!M2:N5,2,0),0)</f>
        <v>0</v>
      </c>
      <c r="AF44">
        <f>IFERROR(VLOOKUP(Z44,PointsMap!J2:K5,2,0),0)</f>
        <v>0</v>
      </c>
      <c r="AG44">
        <f>MIN(8,VALUE(T44)*2)</f>
        <v>0</v>
      </c>
      <c r="AH44">
        <f>IFERROR(VLOOKUP(Q44,PointsMap!P2:Q5,2,0),0)</f>
        <v>0</v>
      </c>
      <c r="AI44">
        <f>MIN(8,ROUND(VALUE(G44)*8,0))</f>
        <v>0</v>
      </c>
      <c r="AJ44">
        <f>IFERROR(VLOOKUP(I44,PointsMap!A2:B5,2,0),0)</f>
        <v>0</v>
      </c>
      <c r="AK44">
        <f>IFERROR(VLOOKUP(W44,PointsMap!S2:T4,2,0),0)</f>
        <v>0</v>
      </c>
      <c r="AL44">
        <f>IFERROR(VLOOKUP(X44,PointsMap!V2:W4,2,0),0)</f>
        <v>0</v>
      </c>
      <c r="AM44">
        <f>MIN(5,VALUE(V44))</f>
        <v>0</v>
      </c>
      <c r="AN44">
        <f>AB44</f>
        <v>0</v>
      </c>
      <c r="AO44">
        <f>AC44+AD44+AE44+AF44</f>
        <v>0</v>
      </c>
      <c r="AP44">
        <f>AG44+AH44</f>
        <v>0</v>
      </c>
      <c r="AQ44">
        <f>AI44+AJ44</f>
        <v>0</v>
      </c>
      <c r="AR44">
        <f>AK44+AL44+AM44</f>
        <v>0</v>
      </c>
      <c r="AS44">
        <f>AN44*Weights!B3/100+AO44*Weights!B4/100+AP44*Weights!B5/100+AQ44*Weights!B6/100+AR44*Weights!B7/100</f>
        <v>0</v>
      </c>
      <c r="AT44" s="2" t="s">
        <v>341</v>
      </c>
      <c r="AU44" s="2" t="s">
        <v>401</v>
      </c>
      <c r="AY44" s="2" t="s">
        <v>469</v>
      </c>
      <c r="BB44" s="2" t="s">
        <v>585</v>
      </c>
      <c r="BD44" t="s">
        <v>678</v>
      </c>
    </row>
    <row r="45" spans="1:56">
      <c r="A45" t="s">
        <v>99</v>
      </c>
      <c r="B45" s="2" t="s">
        <v>199</v>
      </c>
      <c r="C45" t="s">
        <v>260</v>
      </c>
      <c r="D45">
        <v>2000</v>
      </c>
      <c r="F45" t="s">
        <v>263</v>
      </c>
      <c r="AB45">
        <f>VALUE(R45)*6</f>
        <v>0</v>
      </c>
      <c r="AC45">
        <f>IFERROR(VLOOKUP(K45,PointsMap!D2:E3,2,0),0)</f>
        <v>0</v>
      </c>
      <c r="AD45">
        <f>IFERROR(VLOOKUP(M45,PointsMap!G2:H5,2,0),0)</f>
        <v>0</v>
      </c>
      <c r="AE45">
        <f>IFERROR(VLOOKUP(AA45,PointsMap!M2:N5,2,0),0)</f>
        <v>0</v>
      </c>
      <c r="AF45">
        <f>IFERROR(VLOOKUP(Z45,PointsMap!J2:K5,2,0),0)</f>
        <v>0</v>
      </c>
      <c r="AG45">
        <f>MIN(8,VALUE(T45)*2)</f>
        <v>0</v>
      </c>
      <c r="AH45">
        <f>IFERROR(VLOOKUP(Q45,PointsMap!P2:Q5,2,0),0)</f>
        <v>0</v>
      </c>
      <c r="AI45">
        <f>MIN(8,ROUND(VALUE(G45)*8,0))</f>
        <v>0</v>
      </c>
      <c r="AJ45">
        <f>IFERROR(VLOOKUP(I45,PointsMap!A2:B5,2,0),0)</f>
        <v>0</v>
      </c>
      <c r="AK45">
        <f>IFERROR(VLOOKUP(W45,PointsMap!S2:T4,2,0),0)</f>
        <v>0</v>
      </c>
      <c r="AL45">
        <f>IFERROR(VLOOKUP(X45,PointsMap!V2:W4,2,0),0)</f>
        <v>0</v>
      </c>
      <c r="AM45">
        <f>MIN(5,VALUE(V45))</f>
        <v>0</v>
      </c>
      <c r="AN45">
        <f>AB45</f>
        <v>0</v>
      </c>
      <c r="AO45">
        <f>AC45+AD45+AE45+AF45</f>
        <v>0</v>
      </c>
      <c r="AP45">
        <f>AG45+AH45</f>
        <v>0</v>
      </c>
      <c r="AQ45">
        <f>AI45+AJ45</f>
        <v>0</v>
      </c>
      <c r="AR45">
        <f>AK45+AL45+AM45</f>
        <v>0</v>
      </c>
      <c r="AS45">
        <f>AN45*Weights!B3/100+AO45*Weights!B4/100+AP45*Weights!B5/100+AQ45*Weights!B6/100+AR45*Weights!B7/100</f>
        <v>0</v>
      </c>
      <c r="AT45" s="2" t="s">
        <v>342</v>
      </c>
      <c r="AU45" s="2" t="s">
        <v>402</v>
      </c>
      <c r="AY45" s="2" t="s">
        <v>470</v>
      </c>
      <c r="BB45" s="2" t="s">
        <v>586</v>
      </c>
      <c r="BD45" t="s">
        <v>679</v>
      </c>
    </row>
    <row r="46" spans="1:56">
      <c r="A46" t="s">
        <v>100</v>
      </c>
      <c r="B46" s="2" t="s">
        <v>200</v>
      </c>
      <c r="C46" t="s">
        <v>254</v>
      </c>
      <c r="D46">
        <v>2023</v>
      </c>
      <c r="F46" t="s">
        <v>262</v>
      </c>
      <c r="AB46">
        <f>VALUE(R46)*6</f>
        <v>0</v>
      </c>
      <c r="AC46">
        <f>IFERROR(VLOOKUP(K46,PointsMap!D2:E3,2,0),0)</f>
        <v>0</v>
      </c>
      <c r="AD46">
        <f>IFERROR(VLOOKUP(M46,PointsMap!G2:H5,2,0),0)</f>
        <v>0</v>
      </c>
      <c r="AE46">
        <f>IFERROR(VLOOKUP(AA46,PointsMap!M2:N5,2,0),0)</f>
        <v>0</v>
      </c>
      <c r="AF46">
        <f>IFERROR(VLOOKUP(Z46,PointsMap!J2:K5,2,0),0)</f>
        <v>0</v>
      </c>
      <c r="AG46">
        <f>MIN(8,VALUE(T46)*2)</f>
        <v>0</v>
      </c>
      <c r="AH46">
        <f>IFERROR(VLOOKUP(Q46,PointsMap!P2:Q5,2,0),0)</f>
        <v>0</v>
      </c>
      <c r="AI46">
        <f>MIN(8,ROUND(VALUE(G46)*8,0))</f>
        <v>0</v>
      </c>
      <c r="AJ46">
        <f>IFERROR(VLOOKUP(I46,PointsMap!A2:B5,2,0),0)</f>
        <v>0</v>
      </c>
      <c r="AK46">
        <f>IFERROR(VLOOKUP(W46,PointsMap!S2:T4,2,0),0)</f>
        <v>0</v>
      </c>
      <c r="AL46">
        <f>IFERROR(VLOOKUP(X46,PointsMap!V2:W4,2,0),0)</f>
        <v>0</v>
      </c>
      <c r="AM46">
        <f>MIN(5,VALUE(V46))</f>
        <v>0</v>
      </c>
      <c r="AN46">
        <f>AB46</f>
        <v>0</v>
      </c>
      <c r="AO46">
        <f>AC46+AD46+AE46+AF46</f>
        <v>0</v>
      </c>
      <c r="AP46">
        <f>AG46+AH46</f>
        <v>0</v>
      </c>
      <c r="AQ46">
        <f>AI46+AJ46</f>
        <v>0</v>
      </c>
      <c r="AR46">
        <f>AK46+AL46+AM46</f>
        <v>0</v>
      </c>
      <c r="AS46">
        <f>AN46*Weights!B3/100+AO46*Weights!B4/100+AP46*Weights!B5/100+AQ46*Weights!B6/100+AR46*Weights!B7/100</f>
        <v>0</v>
      </c>
      <c r="AT46" s="2" t="s">
        <v>343</v>
      </c>
      <c r="AU46" s="2" t="s">
        <v>403</v>
      </c>
      <c r="AY46" s="2" t="s">
        <v>471</v>
      </c>
      <c r="BB46" s="2" t="s">
        <v>587</v>
      </c>
      <c r="BD46" t="s">
        <v>680</v>
      </c>
    </row>
    <row r="47" spans="1:56">
      <c r="A47" t="s">
        <v>101</v>
      </c>
      <c r="B47" s="2" t="s">
        <v>201</v>
      </c>
      <c r="C47" t="s">
        <v>257</v>
      </c>
      <c r="D47">
        <v>1935</v>
      </c>
      <c r="F47" t="s">
        <v>262</v>
      </c>
      <c r="AB47">
        <f>VALUE(R47)*6</f>
        <v>0</v>
      </c>
      <c r="AC47">
        <f>IFERROR(VLOOKUP(K47,PointsMap!D2:E3,2,0),0)</f>
        <v>0</v>
      </c>
      <c r="AD47">
        <f>IFERROR(VLOOKUP(M47,PointsMap!G2:H5,2,0),0)</f>
        <v>0</v>
      </c>
      <c r="AE47">
        <f>IFERROR(VLOOKUP(AA47,PointsMap!M2:N5,2,0),0)</f>
        <v>0</v>
      </c>
      <c r="AF47">
        <f>IFERROR(VLOOKUP(Z47,PointsMap!J2:K5,2,0),0)</f>
        <v>0</v>
      </c>
      <c r="AG47">
        <f>MIN(8,VALUE(T47)*2)</f>
        <v>0</v>
      </c>
      <c r="AH47">
        <f>IFERROR(VLOOKUP(Q47,PointsMap!P2:Q5,2,0),0)</f>
        <v>0</v>
      </c>
      <c r="AI47">
        <f>MIN(8,ROUND(VALUE(G47)*8,0))</f>
        <v>0</v>
      </c>
      <c r="AJ47">
        <f>IFERROR(VLOOKUP(I47,PointsMap!A2:B5,2,0),0)</f>
        <v>0</v>
      </c>
      <c r="AK47">
        <f>IFERROR(VLOOKUP(W47,PointsMap!S2:T4,2,0),0)</f>
        <v>0</v>
      </c>
      <c r="AL47">
        <f>IFERROR(VLOOKUP(X47,PointsMap!V2:W4,2,0),0)</f>
        <v>0</v>
      </c>
      <c r="AM47">
        <f>MIN(5,VALUE(V47))</f>
        <v>0</v>
      </c>
      <c r="AN47">
        <f>AB47</f>
        <v>0</v>
      </c>
      <c r="AO47">
        <f>AC47+AD47+AE47+AF47</f>
        <v>0</v>
      </c>
      <c r="AP47">
        <f>AG47+AH47</f>
        <v>0</v>
      </c>
      <c r="AQ47">
        <f>AI47+AJ47</f>
        <v>0</v>
      </c>
      <c r="AR47">
        <f>AK47+AL47+AM47</f>
        <v>0</v>
      </c>
      <c r="AS47">
        <f>AN47*Weights!B3/100+AO47*Weights!B4/100+AP47*Weights!B5/100+AQ47*Weights!B6/100+AR47*Weights!B7/100</f>
        <v>0</v>
      </c>
      <c r="AT47" s="2" t="s">
        <v>344</v>
      </c>
      <c r="AU47" s="2" t="s">
        <v>404</v>
      </c>
      <c r="AY47" s="2" t="s">
        <v>472</v>
      </c>
      <c r="BB47" s="2" t="s">
        <v>588</v>
      </c>
      <c r="BD47" t="s">
        <v>681</v>
      </c>
    </row>
    <row r="48" spans="1:56">
      <c r="A48" t="s">
        <v>102</v>
      </c>
      <c r="B48" s="2" t="s">
        <v>202</v>
      </c>
      <c r="C48" t="s">
        <v>257</v>
      </c>
      <c r="D48">
        <v>1899</v>
      </c>
      <c r="F48" t="s">
        <v>262</v>
      </c>
      <c r="AB48">
        <f>VALUE(R48)*6</f>
        <v>0</v>
      </c>
      <c r="AC48">
        <f>IFERROR(VLOOKUP(K48,PointsMap!D2:E3,2,0),0)</f>
        <v>0</v>
      </c>
      <c r="AD48">
        <f>IFERROR(VLOOKUP(M48,PointsMap!G2:H5,2,0),0)</f>
        <v>0</v>
      </c>
      <c r="AE48">
        <f>IFERROR(VLOOKUP(AA48,PointsMap!M2:N5,2,0),0)</f>
        <v>0</v>
      </c>
      <c r="AF48">
        <f>IFERROR(VLOOKUP(Z48,PointsMap!J2:K5,2,0),0)</f>
        <v>0</v>
      </c>
      <c r="AG48">
        <f>MIN(8,VALUE(T48)*2)</f>
        <v>0</v>
      </c>
      <c r="AH48">
        <f>IFERROR(VLOOKUP(Q48,PointsMap!P2:Q5,2,0),0)</f>
        <v>0</v>
      </c>
      <c r="AI48">
        <f>MIN(8,ROUND(VALUE(G48)*8,0))</f>
        <v>0</v>
      </c>
      <c r="AJ48">
        <f>IFERROR(VLOOKUP(I48,PointsMap!A2:B5,2,0),0)</f>
        <v>0</v>
      </c>
      <c r="AK48">
        <f>IFERROR(VLOOKUP(W48,PointsMap!S2:T4,2,0),0)</f>
        <v>0</v>
      </c>
      <c r="AL48">
        <f>IFERROR(VLOOKUP(X48,PointsMap!V2:W4,2,0),0)</f>
        <v>0</v>
      </c>
      <c r="AM48">
        <f>MIN(5,VALUE(V48))</f>
        <v>0</v>
      </c>
      <c r="AN48">
        <f>AB48</f>
        <v>0</v>
      </c>
      <c r="AO48">
        <f>AC48+AD48+AE48+AF48</f>
        <v>0</v>
      </c>
      <c r="AP48">
        <f>AG48+AH48</f>
        <v>0</v>
      </c>
      <c r="AQ48">
        <f>AI48+AJ48</f>
        <v>0</v>
      </c>
      <c r="AR48">
        <f>AK48+AL48+AM48</f>
        <v>0</v>
      </c>
      <c r="AS48">
        <f>AN48*Weights!B3/100+AO48*Weights!B4/100+AP48*Weights!B5/100+AQ48*Weights!B6/100+AR48*Weights!B7/100</f>
        <v>0</v>
      </c>
      <c r="AT48" s="2" t="s">
        <v>345</v>
      </c>
      <c r="AU48" s="2" t="s">
        <v>405</v>
      </c>
      <c r="AY48" s="2" t="s">
        <v>473</v>
      </c>
      <c r="BB48" s="2" t="s">
        <v>589</v>
      </c>
      <c r="BD48" t="s">
        <v>682</v>
      </c>
    </row>
    <row r="49" spans="1:56">
      <c r="A49" t="s">
        <v>103</v>
      </c>
      <c r="B49" s="2" t="s">
        <v>203</v>
      </c>
      <c r="C49" t="s">
        <v>260</v>
      </c>
      <c r="D49">
        <v>2017</v>
      </c>
      <c r="F49" t="s">
        <v>263</v>
      </c>
      <c r="AB49">
        <f>VALUE(R49)*6</f>
        <v>0</v>
      </c>
      <c r="AC49">
        <f>IFERROR(VLOOKUP(K49,PointsMap!D2:E3,2,0),0)</f>
        <v>0</v>
      </c>
      <c r="AD49">
        <f>IFERROR(VLOOKUP(M49,PointsMap!G2:H5,2,0),0)</f>
        <v>0</v>
      </c>
      <c r="AE49">
        <f>IFERROR(VLOOKUP(AA49,PointsMap!M2:N5,2,0),0)</f>
        <v>0</v>
      </c>
      <c r="AF49">
        <f>IFERROR(VLOOKUP(Z49,PointsMap!J2:K5,2,0),0)</f>
        <v>0</v>
      </c>
      <c r="AG49">
        <f>MIN(8,VALUE(T49)*2)</f>
        <v>0</v>
      </c>
      <c r="AH49">
        <f>IFERROR(VLOOKUP(Q49,PointsMap!P2:Q5,2,0),0)</f>
        <v>0</v>
      </c>
      <c r="AI49">
        <f>MIN(8,ROUND(VALUE(G49)*8,0))</f>
        <v>0</v>
      </c>
      <c r="AJ49">
        <f>IFERROR(VLOOKUP(I49,PointsMap!A2:B5,2,0),0)</f>
        <v>0</v>
      </c>
      <c r="AK49">
        <f>IFERROR(VLOOKUP(W49,PointsMap!S2:T4,2,0),0)</f>
        <v>0</v>
      </c>
      <c r="AL49">
        <f>IFERROR(VLOOKUP(X49,PointsMap!V2:W4,2,0),0)</f>
        <v>0</v>
      </c>
      <c r="AM49">
        <f>MIN(5,VALUE(V49))</f>
        <v>0</v>
      </c>
      <c r="AN49">
        <f>AB49</f>
        <v>0</v>
      </c>
      <c r="AO49">
        <f>AC49+AD49+AE49+AF49</f>
        <v>0</v>
      </c>
      <c r="AP49">
        <f>AG49+AH49</f>
        <v>0</v>
      </c>
      <c r="AQ49">
        <f>AI49+AJ49</f>
        <v>0</v>
      </c>
      <c r="AR49">
        <f>AK49+AL49+AM49</f>
        <v>0</v>
      </c>
      <c r="AS49">
        <f>AN49*Weights!B3/100+AO49*Weights!B4/100+AP49*Weights!B5/100+AQ49*Weights!B6/100+AR49*Weights!B7/100</f>
        <v>0</v>
      </c>
      <c r="AT49" s="2" t="s">
        <v>346</v>
      </c>
      <c r="AU49" s="2" t="s">
        <v>406</v>
      </c>
      <c r="AY49" s="2" t="s">
        <v>474</v>
      </c>
      <c r="BB49" s="2" t="s">
        <v>590</v>
      </c>
      <c r="BD49" t="s">
        <v>683</v>
      </c>
    </row>
    <row r="50" spans="1:56">
      <c r="A50" t="s">
        <v>104</v>
      </c>
      <c r="B50" s="2" t="s">
        <v>198</v>
      </c>
      <c r="C50" t="s">
        <v>257</v>
      </c>
      <c r="F50" t="s">
        <v>262</v>
      </c>
      <c r="AB50">
        <f>VALUE(R50)*6</f>
        <v>0</v>
      </c>
      <c r="AC50">
        <f>IFERROR(VLOOKUP(K50,PointsMap!D2:E3,2,0),0)</f>
        <v>0</v>
      </c>
      <c r="AD50">
        <f>IFERROR(VLOOKUP(M50,PointsMap!G2:H5,2,0),0)</f>
        <v>0</v>
      </c>
      <c r="AE50">
        <f>IFERROR(VLOOKUP(AA50,PointsMap!M2:N5,2,0),0)</f>
        <v>0</v>
      </c>
      <c r="AF50">
        <f>IFERROR(VLOOKUP(Z50,PointsMap!J2:K5,2,0),0)</f>
        <v>0</v>
      </c>
      <c r="AG50">
        <f>MIN(8,VALUE(T50)*2)</f>
        <v>0</v>
      </c>
      <c r="AH50">
        <f>IFERROR(VLOOKUP(Q50,PointsMap!P2:Q5,2,0),0)</f>
        <v>0</v>
      </c>
      <c r="AI50">
        <f>MIN(8,ROUND(VALUE(G50)*8,0))</f>
        <v>0</v>
      </c>
      <c r="AJ50">
        <f>IFERROR(VLOOKUP(I50,PointsMap!A2:B5,2,0),0)</f>
        <v>0</v>
      </c>
      <c r="AK50">
        <f>IFERROR(VLOOKUP(W50,PointsMap!S2:T4,2,0),0)</f>
        <v>0</v>
      </c>
      <c r="AL50">
        <f>IFERROR(VLOOKUP(X50,PointsMap!V2:W4,2,0),0)</f>
        <v>0</v>
      </c>
      <c r="AM50">
        <f>MIN(5,VALUE(V50))</f>
        <v>0</v>
      </c>
      <c r="AN50">
        <f>AB50</f>
        <v>0</v>
      </c>
      <c r="AO50">
        <f>AC50+AD50+AE50+AF50</f>
        <v>0</v>
      </c>
      <c r="AP50">
        <f>AG50+AH50</f>
        <v>0</v>
      </c>
      <c r="AQ50">
        <f>AI50+AJ50</f>
        <v>0</v>
      </c>
      <c r="AR50">
        <f>AK50+AL50+AM50</f>
        <v>0</v>
      </c>
      <c r="AS50">
        <f>AN50*Weights!B3/100+AO50*Weights!B4/100+AP50*Weights!B5/100+AQ50*Weights!B6/100+AR50*Weights!B7/100</f>
        <v>0</v>
      </c>
    </row>
    <row r="51" spans="1:56">
      <c r="A51" t="s">
        <v>105</v>
      </c>
      <c r="B51" s="2" t="s">
        <v>204</v>
      </c>
      <c r="C51" t="s">
        <v>257</v>
      </c>
      <c r="D51">
        <v>1985</v>
      </c>
      <c r="F51" t="s">
        <v>263</v>
      </c>
      <c r="AB51">
        <f>VALUE(R51)*6</f>
        <v>0</v>
      </c>
      <c r="AC51">
        <f>IFERROR(VLOOKUP(K51,PointsMap!D2:E3,2,0),0)</f>
        <v>0</v>
      </c>
      <c r="AD51">
        <f>IFERROR(VLOOKUP(M51,PointsMap!G2:H5,2,0),0)</f>
        <v>0</v>
      </c>
      <c r="AE51">
        <f>IFERROR(VLOOKUP(AA51,PointsMap!M2:N5,2,0),0)</f>
        <v>0</v>
      </c>
      <c r="AF51">
        <f>IFERROR(VLOOKUP(Z51,PointsMap!J2:K5,2,0),0)</f>
        <v>0</v>
      </c>
      <c r="AG51">
        <f>MIN(8,VALUE(T51)*2)</f>
        <v>0</v>
      </c>
      <c r="AH51">
        <f>IFERROR(VLOOKUP(Q51,PointsMap!P2:Q5,2,0),0)</f>
        <v>0</v>
      </c>
      <c r="AI51">
        <f>MIN(8,ROUND(VALUE(G51)*8,0))</f>
        <v>0</v>
      </c>
      <c r="AJ51">
        <f>IFERROR(VLOOKUP(I51,PointsMap!A2:B5,2,0),0)</f>
        <v>0</v>
      </c>
      <c r="AK51">
        <f>IFERROR(VLOOKUP(W51,PointsMap!S2:T4,2,0),0)</f>
        <v>0</v>
      </c>
      <c r="AL51">
        <f>IFERROR(VLOOKUP(X51,PointsMap!V2:W4,2,0),0)</f>
        <v>0</v>
      </c>
      <c r="AM51">
        <f>MIN(5,VALUE(V51))</f>
        <v>0</v>
      </c>
      <c r="AN51">
        <f>AB51</f>
        <v>0</v>
      </c>
      <c r="AO51">
        <f>AC51+AD51+AE51+AF51</f>
        <v>0</v>
      </c>
      <c r="AP51">
        <f>AG51+AH51</f>
        <v>0</v>
      </c>
      <c r="AQ51">
        <f>AI51+AJ51</f>
        <v>0</v>
      </c>
      <c r="AR51">
        <f>AK51+AL51+AM51</f>
        <v>0</v>
      </c>
      <c r="AS51">
        <f>AN51*Weights!B3/100+AO51*Weights!B4/100+AP51*Weights!B5/100+AQ51*Weights!B6/100+AR51*Weights!B7/100</f>
        <v>0</v>
      </c>
      <c r="AT51" s="2" t="s">
        <v>347</v>
      </c>
      <c r="AU51" s="2" t="s">
        <v>407</v>
      </c>
      <c r="AY51" s="2" t="s">
        <v>475</v>
      </c>
      <c r="BB51" s="2" t="s">
        <v>591</v>
      </c>
      <c r="BD51" t="s">
        <v>684</v>
      </c>
    </row>
    <row r="52" spans="1:56">
      <c r="A52" t="s">
        <v>106</v>
      </c>
      <c r="B52" s="2" t="s">
        <v>205</v>
      </c>
      <c r="C52" t="s">
        <v>255</v>
      </c>
      <c r="D52">
        <v>1987</v>
      </c>
      <c r="F52" t="s">
        <v>263</v>
      </c>
      <c r="AB52">
        <f>VALUE(R52)*6</f>
        <v>0</v>
      </c>
      <c r="AC52">
        <f>IFERROR(VLOOKUP(K52,PointsMap!D2:E3,2,0),0)</f>
        <v>0</v>
      </c>
      <c r="AD52">
        <f>IFERROR(VLOOKUP(M52,PointsMap!G2:H5,2,0),0)</f>
        <v>0</v>
      </c>
      <c r="AE52">
        <f>IFERROR(VLOOKUP(AA52,PointsMap!M2:N5,2,0),0)</f>
        <v>0</v>
      </c>
      <c r="AF52">
        <f>IFERROR(VLOOKUP(Z52,PointsMap!J2:K5,2,0),0)</f>
        <v>0</v>
      </c>
      <c r="AG52">
        <f>MIN(8,VALUE(T52)*2)</f>
        <v>0</v>
      </c>
      <c r="AH52">
        <f>IFERROR(VLOOKUP(Q52,PointsMap!P2:Q5,2,0),0)</f>
        <v>0</v>
      </c>
      <c r="AI52">
        <f>MIN(8,ROUND(VALUE(G52)*8,0))</f>
        <v>0</v>
      </c>
      <c r="AJ52">
        <f>IFERROR(VLOOKUP(I52,PointsMap!A2:B5,2,0),0)</f>
        <v>0</v>
      </c>
      <c r="AK52">
        <f>IFERROR(VLOOKUP(W52,PointsMap!S2:T4,2,0),0)</f>
        <v>0</v>
      </c>
      <c r="AL52">
        <f>IFERROR(VLOOKUP(X52,PointsMap!V2:W4,2,0),0)</f>
        <v>0</v>
      </c>
      <c r="AM52">
        <f>MIN(5,VALUE(V52))</f>
        <v>0</v>
      </c>
      <c r="AN52">
        <f>AB52</f>
        <v>0</v>
      </c>
      <c r="AO52">
        <f>AC52+AD52+AE52+AF52</f>
        <v>0</v>
      </c>
      <c r="AP52">
        <f>AG52+AH52</f>
        <v>0</v>
      </c>
      <c r="AQ52">
        <f>AI52+AJ52</f>
        <v>0</v>
      </c>
      <c r="AR52">
        <f>AK52+AL52+AM52</f>
        <v>0</v>
      </c>
      <c r="AS52">
        <f>AN52*Weights!B3/100+AO52*Weights!B4/100+AP52*Weights!B5/100+AQ52*Weights!B6/100+AR52*Weights!B7/100</f>
        <v>0</v>
      </c>
      <c r="AT52" s="2" t="s">
        <v>348</v>
      </c>
      <c r="AU52" s="2" t="s">
        <v>408</v>
      </c>
      <c r="AY52" s="2" t="s">
        <v>476</v>
      </c>
      <c r="BB52" s="2" t="s">
        <v>592</v>
      </c>
      <c r="BD52" t="s">
        <v>685</v>
      </c>
    </row>
    <row r="53" spans="1:56">
      <c r="A53" t="s">
        <v>107</v>
      </c>
      <c r="B53" s="2" t="s">
        <v>206</v>
      </c>
      <c r="C53" t="s">
        <v>255</v>
      </c>
      <c r="D53">
        <v>1991</v>
      </c>
      <c r="F53" t="s">
        <v>263</v>
      </c>
      <c r="AB53">
        <f>VALUE(R53)*6</f>
        <v>0</v>
      </c>
      <c r="AC53">
        <f>IFERROR(VLOOKUP(K53,PointsMap!D2:E3,2,0),0)</f>
        <v>0</v>
      </c>
      <c r="AD53">
        <f>IFERROR(VLOOKUP(M53,PointsMap!G2:H5,2,0),0)</f>
        <v>0</v>
      </c>
      <c r="AE53">
        <f>IFERROR(VLOOKUP(AA53,PointsMap!M2:N5,2,0),0)</f>
        <v>0</v>
      </c>
      <c r="AF53">
        <f>IFERROR(VLOOKUP(Z53,PointsMap!J2:K5,2,0),0)</f>
        <v>0</v>
      </c>
      <c r="AG53">
        <f>MIN(8,VALUE(T53)*2)</f>
        <v>0</v>
      </c>
      <c r="AH53">
        <f>IFERROR(VLOOKUP(Q53,PointsMap!P2:Q5,2,0),0)</f>
        <v>0</v>
      </c>
      <c r="AI53">
        <f>MIN(8,ROUND(VALUE(G53)*8,0))</f>
        <v>0</v>
      </c>
      <c r="AJ53">
        <f>IFERROR(VLOOKUP(I53,PointsMap!A2:B5,2,0),0)</f>
        <v>0</v>
      </c>
      <c r="AK53">
        <f>IFERROR(VLOOKUP(W53,PointsMap!S2:T4,2,0),0)</f>
        <v>0</v>
      </c>
      <c r="AL53">
        <f>IFERROR(VLOOKUP(X53,PointsMap!V2:W4,2,0),0)</f>
        <v>0</v>
      </c>
      <c r="AM53">
        <f>MIN(5,VALUE(V53))</f>
        <v>0</v>
      </c>
      <c r="AN53">
        <f>AB53</f>
        <v>0</v>
      </c>
      <c r="AO53">
        <f>AC53+AD53+AE53+AF53</f>
        <v>0</v>
      </c>
      <c r="AP53">
        <f>AG53+AH53</f>
        <v>0</v>
      </c>
      <c r="AQ53">
        <f>AI53+AJ53</f>
        <v>0</v>
      </c>
      <c r="AR53">
        <f>AK53+AL53+AM53</f>
        <v>0</v>
      </c>
      <c r="AS53">
        <f>AN53*Weights!B3/100+AO53*Weights!B4/100+AP53*Weights!B5/100+AQ53*Weights!B6/100+AR53*Weights!B7/100</f>
        <v>0</v>
      </c>
      <c r="AT53" s="2" t="s">
        <v>349</v>
      </c>
      <c r="AU53" s="2" t="s">
        <v>409</v>
      </c>
      <c r="AY53" s="2" t="s">
        <v>477</v>
      </c>
      <c r="BB53" s="2" t="s">
        <v>593</v>
      </c>
      <c r="BD53" t="s">
        <v>686</v>
      </c>
    </row>
    <row r="54" spans="1:56">
      <c r="A54" t="s">
        <v>108</v>
      </c>
      <c r="B54" s="2" t="s">
        <v>207</v>
      </c>
      <c r="C54" t="s">
        <v>260</v>
      </c>
      <c r="D54">
        <v>1981</v>
      </c>
      <c r="F54" t="s">
        <v>263</v>
      </c>
      <c r="AB54">
        <f>VALUE(R54)*6</f>
        <v>0</v>
      </c>
      <c r="AC54">
        <f>IFERROR(VLOOKUP(K54,PointsMap!D2:E3,2,0),0)</f>
        <v>0</v>
      </c>
      <c r="AD54">
        <f>IFERROR(VLOOKUP(M54,PointsMap!G2:H5,2,0),0)</f>
        <v>0</v>
      </c>
      <c r="AE54">
        <f>IFERROR(VLOOKUP(AA54,PointsMap!M2:N5,2,0),0)</f>
        <v>0</v>
      </c>
      <c r="AF54">
        <f>IFERROR(VLOOKUP(Z54,PointsMap!J2:K5,2,0),0)</f>
        <v>0</v>
      </c>
      <c r="AG54">
        <f>MIN(8,VALUE(T54)*2)</f>
        <v>0</v>
      </c>
      <c r="AH54">
        <f>IFERROR(VLOOKUP(Q54,PointsMap!P2:Q5,2,0),0)</f>
        <v>0</v>
      </c>
      <c r="AI54">
        <f>MIN(8,ROUND(VALUE(G54)*8,0))</f>
        <v>0</v>
      </c>
      <c r="AJ54">
        <f>IFERROR(VLOOKUP(I54,PointsMap!A2:B5,2,0),0)</f>
        <v>0</v>
      </c>
      <c r="AK54">
        <f>IFERROR(VLOOKUP(W54,PointsMap!S2:T4,2,0),0)</f>
        <v>0</v>
      </c>
      <c r="AL54">
        <f>IFERROR(VLOOKUP(X54,PointsMap!V2:W4,2,0),0)</f>
        <v>0</v>
      </c>
      <c r="AM54">
        <f>MIN(5,VALUE(V54))</f>
        <v>0</v>
      </c>
      <c r="AN54">
        <f>AB54</f>
        <v>0</v>
      </c>
      <c r="AO54">
        <f>AC54+AD54+AE54+AF54</f>
        <v>0</v>
      </c>
      <c r="AP54">
        <f>AG54+AH54</f>
        <v>0</v>
      </c>
      <c r="AQ54">
        <f>AI54+AJ54</f>
        <v>0</v>
      </c>
      <c r="AR54">
        <f>AK54+AL54+AM54</f>
        <v>0</v>
      </c>
      <c r="AS54">
        <f>AN54*Weights!B3/100+AO54*Weights!B4/100+AP54*Weights!B5/100+AQ54*Weights!B6/100+AR54*Weights!B7/100</f>
        <v>0</v>
      </c>
      <c r="AT54" s="2" t="s">
        <v>350</v>
      </c>
      <c r="AU54" s="2" t="s">
        <v>410</v>
      </c>
      <c r="AY54" s="2" t="s">
        <v>478</v>
      </c>
      <c r="BB54" s="2" t="s">
        <v>594</v>
      </c>
      <c r="BD54" t="s">
        <v>687</v>
      </c>
    </row>
    <row r="55" spans="1:56">
      <c r="A55" t="s">
        <v>109</v>
      </c>
      <c r="B55" s="2" t="s">
        <v>208</v>
      </c>
      <c r="C55" t="s">
        <v>255</v>
      </c>
      <c r="D55">
        <v>2001</v>
      </c>
      <c r="F55" t="s">
        <v>263</v>
      </c>
      <c r="AB55">
        <f>VALUE(R55)*6</f>
        <v>0</v>
      </c>
      <c r="AC55">
        <f>IFERROR(VLOOKUP(K55,PointsMap!D2:E3,2,0),0)</f>
        <v>0</v>
      </c>
      <c r="AD55">
        <f>IFERROR(VLOOKUP(M55,PointsMap!G2:H5,2,0),0)</f>
        <v>0</v>
      </c>
      <c r="AE55">
        <f>IFERROR(VLOOKUP(AA55,PointsMap!M2:N5,2,0),0)</f>
        <v>0</v>
      </c>
      <c r="AF55">
        <f>IFERROR(VLOOKUP(Z55,PointsMap!J2:K5,2,0),0)</f>
        <v>0</v>
      </c>
      <c r="AG55">
        <f>MIN(8,VALUE(T55)*2)</f>
        <v>0</v>
      </c>
      <c r="AH55">
        <f>IFERROR(VLOOKUP(Q55,PointsMap!P2:Q5,2,0),0)</f>
        <v>0</v>
      </c>
      <c r="AI55">
        <f>MIN(8,ROUND(VALUE(G55)*8,0))</f>
        <v>0</v>
      </c>
      <c r="AJ55">
        <f>IFERROR(VLOOKUP(I55,PointsMap!A2:B5,2,0),0)</f>
        <v>0</v>
      </c>
      <c r="AK55">
        <f>IFERROR(VLOOKUP(W55,PointsMap!S2:T4,2,0),0)</f>
        <v>0</v>
      </c>
      <c r="AL55">
        <f>IFERROR(VLOOKUP(X55,PointsMap!V2:W4,2,0),0)</f>
        <v>0</v>
      </c>
      <c r="AM55">
        <f>MIN(5,VALUE(V55))</f>
        <v>0</v>
      </c>
      <c r="AN55">
        <f>AB55</f>
        <v>0</v>
      </c>
      <c r="AO55">
        <f>AC55+AD55+AE55+AF55</f>
        <v>0</v>
      </c>
      <c r="AP55">
        <f>AG55+AH55</f>
        <v>0</v>
      </c>
      <c r="AQ55">
        <f>AI55+AJ55</f>
        <v>0</v>
      </c>
      <c r="AR55">
        <f>AK55+AL55+AM55</f>
        <v>0</v>
      </c>
      <c r="AS55">
        <f>AN55*Weights!B3/100+AO55*Weights!B4/100+AP55*Weights!B5/100+AQ55*Weights!B6/100+AR55*Weights!B7/100</f>
        <v>0</v>
      </c>
      <c r="AT55" s="2" t="s">
        <v>351</v>
      </c>
      <c r="AY55" s="2" t="s">
        <v>479</v>
      </c>
      <c r="BB55" s="2" t="s">
        <v>595</v>
      </c>
      <c r="BD55" t="s">
        <v>688</v>
      </c>
    </row>
    <row r="56" spans="1:56">
      <c r="A56" t="s">
        <v>110</v>
      </c>
      <c r="B56" s="2" t="s">
        <v>209</v>
      </c>
      <c r="C56" t="s">
        <v>260</v>
      </c>
      <c r="D56">
        <v>2000</v>
      </c>
      <c r="F56" t="s">
        <v>263</v>
      </c>
      <c r="AB56">
        <f>VALUE(R56)*6</f>
        <v>0</v>
      </c>
      <c r="AC56">
        <f>IFERROR(VLOOKUP(K56,PointsMap!D2:E3,2,0),0)</f>
        <v>0</v>
      </c>
      <c r="AD56">
        <f>IFERROR(VLOOKUP(M56,PointsMap!G2:H5,2,0),0)</f>
        <v>0</v>
      </c>
      <c r="AE56">
        <f>IFERROR(VLOOKUP(AA56,PointsMap!M2:N5,2,0),0)</f>
        <v>0</v>
      </c>
      <c r="AF56">
        <f>IFERROR(VLOOKUP(Z56,PointsMap!J2:K5,2,0),0)</f>
        <v>0</v>
      </c>
      <c r="AG56">
        <f>MIN(8,VALUE(T56)*2)</f>
        <v>0</v>
      </c>
      <c r="AH56">
        <f>IFERROR(VLOOKUP(Q56,PointsMap!P2:Q5,2,0),0)</f>
        <v>0</v>
      </c>
      <c r="AI56">
        <f>MIN(8,ROUND(VALUE(G56)*8,0))</f>
        <v>0</v>
      </c>
      <c r="AJ56">
        <f>IFERROR(VLOOKUP(I56,PointsMap!A2:B5,2,0),0)</f>
        <v>0</v>
      </c>
      <c r="AK56">
        <f>IFERROR(VLOOKUP(W56,PointsMap!S2:T4,2,0),0)</f>
        <v>0</v>
      </c>
      <c r="AL56">
        <f>IFERROR(VLOOKUP(X56,PointsMap!V2:W4,2,0),0)</f>
        <v>0</v>
      </c>
      <c r="AM56">
        <f>MIN(5,VALUE(V56))</f>
        <v>0</v>
      </c>
      <c r="AN56">
        <f>AB56</f>
        <v>0</v>
      </c>
      <c r="AO56">
        <f>AC56+AD56+AE56+AF56</f>
        <v>0</v>
      </c>
      <c r="AP56">
        <f>AG56+AH56</f>
        <v>0</v>
      </c>
      <c r="AQ56">
        <f>AI56+AJ56</f>
        <v>0</v>
      </c>
      <c r="AR56">
        <f>AK56+AL56+AM56</f>
        <v>0</v>
      </c>
      <c r="AS56">
        <f>AN56*Weights!B3/100+AO56*Weights!B4/100+AP56*Weights!B5/100+AQ56*Weights!B6/100+AR56*Weights!B7/100</f>
        <v>0</v>
      </c>
      <c r="AT56" s="2" t="s">
        <v>352</v>
      </c>
      <c r="AU56" s="2" t="s">
        <v>411</v>
      </c>
      <c r="AY56" s="2" t="s">
        <v>480</v>
      </c>
      <c r="BB56" s="2" t="s">
        <v>596</v>
      </c>
      <c r="BD56" t="s">
        <v>689</v>
      </c>
    </row>
    <row r="57" spans="1:56">
      <c r="A57" t="s">
        <v>111</v>
      </c>
      <c r="B57" s="2" t="s">
        <v>210</v>
      </c>
      <c r="C57" t="s">
        <v>255</v>
      </c>
      <c r="D57">
        <v>1993</v>
      </c>
      <c r="F57" t="s">
        <v>263</v>
      </c>
      <c r="AB57">
        <f>VALUE(R57)*6</f>
        <v>0</v>
      </c>
      <c r="AC57">
        <f>IFERROR(VLOOKUP(K57,PointsMap!D2:E3,2,0),0)</f>
        <v>0</v>
      </c>
      <c r="AD57">
        <f>IFERROR(VLOOKUP(M57,PointsMap!G2:H5,2,0),0)</f>
        <v>0</v>
      </c>
      <c r="AE57">
        <f>IFERROR(VLOOKUP(AA57,PointsMap!M2:N5,2,0),0)</f>
        <v>0</v>
      </c>
      <c r="AF57">
        <f>IFERROR(VLOOKUP(Z57,PointsMap!J2:K5,2,0),0)</f>
        <v>0</v>
      </c>
      <c r="AG57">
        <f>MIN(8,VALUE(T57)*2)</f>
        <v>0</v>
      </c>
      <c r="AH57">
        <f>IFERROR(VLOOKUP(Q57,PointsMap!P2:Q5,2,0),0)</f>
        <v>0</v>
      </c>
      <c r="AI57">
        <f>MIN(8,ROUND(VALUE(G57)*8,0))</f>
        <v>0</v>
      </c>
      <c r="AJ57">
        <f>IFERROR(VLOOKUP(I57,PointsMap!A2:B5,2,0),0)</f>
        <v>0</v>
      </c>
      <c r="AK57">
        <f>IFERROR(VLOOKUP(W57,PointsMap!S2:T4,2,0),0)</f>
        <v>0</v>
      </c>
      <c r="AL57">
        <f>IFERROR(VLOOKUP(X57,PointsMap!V2:W4,2,0),0)</f>
        <v>0</v>
      </c>
      <c r="AM57">
        <f>MIN(5,VALUE(V57))</f>
        <v>0</v>
      </c>
      <c r="AN57">
        <f>AB57</f>
        <v>0</v>
      </c>
      <c r="AO57">
        <f>AC57+AD57+AE57+AF57</f>
        <v>0</v>
      </c>
      <c r="AP57">
        <f>AG57+AH57</f>
        <v>0</v>
      </c>
      <c r="AQ57">
        <f>AI57+AJ57</f>
        <v>0</v>
      </c>
      <c r="AR57">
        <f>AK57+AL57+AM57</f>
        <v>0</v>
      </c>
      <c r="AS57">
        <f>AN57*Weights!B3/100+AO57*Weights!B4/100+AP57*Weights!B5/100+AQ57*Weights!B6/100+AR57*Weights!B7/100</f>
        <v>0</v>
      </c>
      <c r="AT57" s="2" t="s">
        <v>353</v>
      </c>
      <c r="AU57" s="2" t="s">
        <v>412</v>
      </c>
      <c r="AY57" s="2" t="s">
        <v>481</v>
      </c>
      <c r="BA57" s="2" t="s">
        <v>544</v>
      </c>
      <c r="BB57" s="2" t="s">
        <v>597</v>
      </c>
      <c r="BD57" t="s">
        <v>690</v>
      </c>
    </row>
    <row r="58" spans="1:56">
      <c r="A58" t="s">
        <v>112</v>
      </c>
      <c r="B58" s="2" t="s">
        <v>211</v>
      </c>
      <c r="C58" t="s">
        <v>255</v>
      </c>
      <c r="D58">
        <v>1998</v>
      </c>
      <c r="F58" t="s">
        <v>263</v>
      </c>
      <c r="AB58">
        <f>VALUE(R58)*6</f>
        <v>0</v>
      </c>
      <c r="AC58">
        <f>IFERROR(VLOOKUP(K58,PointsMap!D2:E3,2,0),0)</f>
        <v>0</v>
      </c>
      <c r="AD58">
        <f>IFERROR(VLOOKUP(M58,PointsMap!G2:H5,2,0),0)</f>
        <v>0</v>
      </c>
      <c r="AE58">
        <f>IFERROR(VLOOKUP(AA58,PointsMap!M2:N5,2,0),0)</f>
        <v>0</v>
      </c>
      <c r="AF58">
        <f>IFERROR(VLOOKUP(Z58,PointsMap!J2:K5,2,0),0)</f>
        <v>0</v>
      </c>
      <c r="AG58">
        <f>MIN(8,VALUE(T58)*2)</f>
        <v>0</v>
      </c>
      <c r="AH58">
        <f>IFERROR(VLOOKUP(Q58,PointsMap!P2:Q5,2,0),0)</f>
        <v>0</v>
      </c>
      <c r="AI58">
        <f>MIN(8,ROUND(VALUE(G58)*8,0))</f>
        <v>0</v>
      </c>
      <c r="AJ58">
        <f>IFERROR(VLOOKUP(I58,PointsMap!A2:B5,2,0),0)</f>
        <v>0</v>
      </c>
      <c r="AK58">
        <f>IFERROR(VLOOKUP(W58,PointsMap!S2:T4,2,0),0)</f>
        <v>0</v>
      </c>
      <c r="AL58">
        <f>IFERROR(VLOOKUP(X58,PointsMap!V2:W4,2,0),0)</f>
        <v>0</v>
      </c>
      <c r="AM58">
        <f>MIN(5,VALUE(V58))</f>
        <v>0</v>
      </c>
      <c r="AN58">
        <f>AB58</f>
        <v>0</v>
      </c>
      <c r="AO58">
        <f>AC58+AD58+AE58+AF58</f>
        <v>0</v>
      </c>
      <c r="AP58">
        <f>AG58+AH58</f>
        <v>0</v>
      </c>
      <c r="AQ58">
        <f>AI58+AJ58</f>
        <v>0</v>
      </c>
      <c r="AR58">
        <f>AK58+AL58+AM58</f>
        <v>0</v>
      </c>
      <c r="AS58">
        <f>AN58*Weights!B3/100+AO58*Weights!B4/100+AP58*Weights!B5/100+AQ58*Weights!B6/100+AR58*Weights!B7/100</f>
        <v>0</v>
      </c>
      <c r="AT58" s="2" t="s">
        <v>354</v>
      </c>
      <c r="AY58" s="2" t="s">
        <v>482</v>
      </c>
      <c r="BB58" s="2" t="s">
        <v>598</v>
      </c>
      <c r="BD58" t="s">
        <v>691</v>
      </c>
    </row>
    <row r="59" spans="1:56">
      <c r="A59" t="s">
        <v>113</v>
      </c>
      <c r="B59" s="2" t="s">
        <v>212</v>
      </c>
      <c r="C59" t="s">
        <v>257</v>
      </c>
      <c r="D59">
        <v>1996</v>
      </c>
      <c r="F59" t="s">
        <v>263</v>
      </c>
      <c r="AB59">
        <f>VALUE(R59)*6</f>
        <v>0</v>
      </c>
      <c r="AC59">
        <f>IFERROR(VLOOKUP(K59,PointsMap!D2:E3,2,0),0)</f>
        <v>0</v>
      </c>
      <c r="AD59">
        <f>IFERROR(VLOOKUP(M59,PointsMap!G2:H5,2,0),0)</f>
        <v>0</v>
      </c>
      <c r="AE59">
        <f>IFERROR(VLOOKUP(AA59,PointsMap!M2:N5,2,0),0)</f>
        <v>0</v>
      </c>
      <c r="AF59">
        <f>IFERROR(VLOOKUP(Z59,PointsMap!J2:K5,2,0),0)</f>
        <v>0</v>
      </c>
      <c r="AG59">
        <f>MIN(8,VALUE(T59)*2)</f>
        <v>0</v>
      </c>
      <c r="AH59">
        <f>IFERROR(VLOOKUP(Q59,PointsMap!P2:Q5,2,0),0)</f>
        <v>0</v>
      </c>
      <c r="AI59">
        <f>MIN(8,ROUND(VALUE(G59)*8,0))</f>
        <v>0</v>
      </c>
      <c r="AJ59">
        <f>IFERROR(VLOOKUP(I59,PointsMap!A2:B5,2,0),0)</f>
        <v>0</v>
      </c>
      <c r="AK59">
        <f>IFERROR(VLOOKUP(W59,PointsMap!S2:T4,2,0),0)</f>
        <v>0</v>
      </c>
      <c r="AL59">
        <f>IFERROR(VLOOKUP(X59,PointsMap!V2:W4,2,0),0)</f>
        <v>0</v>
      </c>
      <c r="AM59">
        <f>MIN(5,VALUE(V59))</f>
        <v>0</v>
      </c>
      <c r="AN59">
        <f>AB59</f>
        <v>0</v>
      </c>
      <c r="AO59">
        <f>AC59+AD59+AE59+AF59</f>
        <v>0</v>
      </c>
      <c r="AP59">
        <f>AG59+AH59</f>
        <v>0</v>
      </c>
      <c r="AQ59">
        <f>AI59+AJ59</f>
        <v>0</v>
      </c>
      <c r="AR59">
        <f>AK59+AL59+AM59</f>
        <v>0</v>
      </c>
      <c r="AS59">
        <f>AN59*Weights!B3/100+AO59*Weights!B4/100+AP59*Weights!B5/100+AQ59*Weights!B6/100+AR59*Weights!B7/100</f>
        <v>0</v>
      </c>
      <c r="AT59" s="2" t="s">
        <v>355</v>
      </c>
      <c r="AU59" s="2" t="s">
        <v>413</v>
      </c>
      <c r="AY59" s="2" t="s">
        <v>483</v>
      </c>
      <c r="BB59" s="2" t="s">
        <v>599</v>
      </c>
      <c r="BD59" t="s">
        <v>692</v>
      </c>
    </row>
    <row r="60" spans="1:56">
      <c r="A60" t="s">
        <v>114</v>
      </c>
      <c r="B60" s="2" t="s">
        <v>213</v>
      </c>
      <c r="C60" t="s">
        <v>255</v>
      </c>
      <c r="D60">
        <v>1996</v>
      </c>
      <c r="F60" t="s">
        <v>263</v>
      </c>
      <c r="AB60">
        <f>VALUE(R60)*6</f>
        <v>0</v>
      </c>
      <c r="AC60">
        <f>IFERROR(VLOOKUP(K60,PointsMap!D2:E3,2,0),0)</f>
        <v>0</v>
      </c>
      <c r="AD60">
        <f>IFERROR(VLOOKUP(M60,PointsMap!G2:H5,2,0),0)</f>
        <v>0</v>
      </c>
      <c r="AE60">
        <f>IFERROR(VLOOKUP(AA60,PointsMap!M2:N5,2,0),0)</f>
        <v>0</v>
      </c>
      <c r="AF60">
        <f>IFERROR(VLOOKUP(Z60,PointsMap!J2:K5,2,0),0)</f>
        <v>0</v>
      </c>
      <c r="AG60">
        <f>MIN(8,VALUE(T60)*2)</f>
        <v>0</v>
      </c>
      <c r="AH60">
        <f>IFERROR(VLOOKUP(Q60,PointsMap!P2:Q5,2,0),0)</f>
        <v>0</v>
      </c>
      <c r="AI60">
        <f>MIN(8,ROUND(VALUE(G60)*8,0))</f>
        <v>0</v>
      </c>
      <c r="AJ60">
        <f>IFERROR(VLOOKUP(I60,PointsMap!A2:B5,2,0),0)</f>
        <v>0</v>
      </c>
      <c r="AK60">
        <f>IFERROR(VLOOKUP(W60,PointsMap!S2:T4,2,0),0)</f>
        <v>0</v>
      </c>
      <c r="AL60">
        <f>IFERROR(VLOOKUP(X60,PointsMap!V2:W4,2,0),0)</f>
        <v>0</v>
      </c>
      <c r="AM60">
        <f>MIN(5,VALUE(V60))</f>
        <v>0</v>
      </c>
      <c r="AN60">
        <f>AB60</f>
        <v>0</v>
      </c>
      <c r="AO60">
        <f>AC60+AD60+AE60+AF60</f>
        <v>0</v>
      </c>
      <c r="AP60">
        <f>AG60+AH60</f>
        <v>0</v>
      </c>
      <c r="AQ60">
        <f>AI60+AJ60</f>
        <v>0</v>
      </c>
      <c r="AR60">
        <f>AK60+AL60+AM60</f>
        <v>0</v>
      </c>
      <c r="AS60">
        <f>AN60*Weights!B3/100+AO60*Weights!B4/100+AP60*Weights!B5/100+AQ60*Weights!B6/100+AR60*Weights!B7/100</f>
        <v>0</v>
      </c>
      <c r="AT60" s="2" t="s">
        <v>356</v>
      </c>
      <c r="AU60" s="2" t="s">
        <v>414</v>
      </c>
      <c r="AY60" s="2" t="s">
        <v>484</v>
      </c>
      <c r="BB60" s="2" t="s">
        <v>600</v>
      </c>
      <c r="BD60" t="s">
        <v>693</v>
      </c>
    </row>
    <row r="61" spans="1:56">
      <c r="A61" t="s">
        <v>115</v>
      </c>
      <c r="B61" s="2" t="s">
        <v>214</v>
      </c>
      <c r="C61" t="s">
        <v>257</v>
      </c>
      <c r="D61">
        <v>1963</v>
      </c>
      <c r="F61" t="s">
        <v>263</v>
      </c>
      <c r="AB61">
        <f>VALUE(R61)*6</f>
        <v>0</v>
      </c>
      <c r="AC61">
        <f>IFERROR(VLOOKUP(K61,PointsMap!D2:E3,2,0),0)</f>
        <v>0</v>
      </c>
      <c r="AD61">
        <f>IFERROR(VLOOKUP(M61,PointsMap!G2:H5,2,0),0)</f>
        <v>0</v>
      </c>
      <c r="AE61">
        <f>IFERROR(VLOOKUP(AA61,PointsMap!M2:N5,2,0),0)</f>
        <v>0</v>
      </c>
      <c r="AF61">
        <f>IFERROR(VLOOKUP(Z61,PointsMap!J2:K5,2,0),0)</f>
        <v>0</v>
      </c>
      <c r="AG61">
        <f>MIN(8,VALUE(T61)*2)</f>
        <v>0</v>
      </c>
      <c r="AH61">
        <f>IFERROR(VLOOKUP(Q61,PointsMap!P2:Q5,2,0),0)</f>
        <v>0</v>
      </c>
      <c r="AI61">
        <f>MIN(8,ROUND(VALUE(G61)*8,0))</f>
        <v>0</v>
      </c>
      <c r="AJ61">
        <f>IFERROR(VLOOKUP(I61,PointsMap!A2:B5,2,0),0)</f>
        <v>0</v>
      </c>
      <c r="AK61">
        <f>IFERROR(VLOOKUP(W61,PointsMap!S2:T4,2,0),0)</f>
        <v>0</v>
      </c>
      <c r="AL61">
        <f>IFERROR(VLOOKUP(X61,PointsMap!V2:W4,2,0),0)</f>
        <v>0</v>
      </c>
      <c r="AM61">
        <f>MIN(5,VALUE(V61))</f>
        <v>0</v>
      </c>
      <c r="AN61">
        <f>AB61</f>
        <v>0</v>
      </c>
      <c r="AO61">
        <f>AC61+AD61+AE61+AF61</f>
        <v>0</v>
      </c>
      <c r="AP61">
        <f>AG61+AH61</f>
        <v>0</v>
      </c>
      <c r="AQ61">
        <f>AI61+AJ61</f>
        <v>0</v>
      </c>
      <c r="AR61">
        <f>AK61+AL61+AM61</f>
        <v>0</v>
      </c>
      <c r="AS61">
        <f>AN61*Weights!B3/100+AO61*Weights!B4/100+AP61*Weights!B5/100+AQ61*Weights!B6/100+AR61*Weights!B7/100</f>
        <v>0</v>
      </c>
      <c r="AT61" s="2" t="s">
        <v>357</v>
      </c>
      <c r="AU61" s="2" t="s">
        <v>415</v>
      </c>
      <c r="AY61" s="2" t="s">
        <v>485</v>
      </c>
      <c r="BB61" s="2" t="s">
        <v>601</v>
      </c>
      <c r="BD61" t="s">
        <v>694</v>
      </c>
    </row>
    <row r="62" spans="1:56">
      <c r="A62" t="s">
        <v>116</v>
      </c>
      <c r="B62" s="2" t="s">
        <v>215</v>
      </c>
      <c r="C62" t="s">
        <v>257</v>
      </c>
      <c r="D62">
        <v>1990</v>
      </c>
      <c r="F62" t="s">
        <v>263</v>
      </c>
      <c r="AB62">
        <f>VALUE(R62)*6</f>
        <v>0</v>
      </c>
      <c r="AC62">
        <f>IFERROR(VLOOKUP(K62,PointsMap!D2:E3,2,0),0)</f>
        <v>0</v>
      </c>
      <c r="AD62">
        <f>IFERROR(VLOOKUP(M62,PointsMap!G2:H5,2,0),0)</f>
        <v>0</v>
      </c>
      <c r="AE62">
        <f>IFERROR(VLOOKUP(AA62,PointsMap!M2:N5,2,0),0)</f>
        <v>0</v>
      </c>
      <c r="AF62">
        <f>IFERROR(VLOOKUP(Z62,PointsMap!J2:K5,2,0),0)</f>
        <v>0</v>
      </c>
      <c r="AG62">
        <f>MIN(8,VALUE(T62)*2)</f>
        <v>0</v>
      </c>
      <c r="AH62">
        <f>IFERROR(VLOOKUP(Q62,PointsMap!P2:Q5,2,0),0)</f>
        <v>0</v>
      </c>
      <c r="AI62">
        <f>MIN(8,ROUND(VALUE(G62)*8,0))</f>
        <v>0</v>
      </c>
      <c r="AJ62">
        <f>IFERROR(VLOOKUP(I62,PointsMap!A2:B5,2,0),0)</f>
        <v>0</v>
      </c>
      <c r="AK62">
        <f>IFERROR(VLOOKUP(W62,PointsMap!S2:T4,2,0),0)</f>
        <v>0</v>
      </c>
      <c r="AL62">
        <f>IFERROR(VLOOKUP(X62,PointsMap!V2:W4,2,0),0)</f>
        <v>0</v>
      </c>
      <c r="AM62">
        <f>MIN(5,VALUE(V62))</f>
        <v>0</v>
      </c>
      <c r="AN62">
        <f>AB62</f>
        <v>0</v>
      </c>
      <c r="AO62">
        <f>AC62+AD62+AE62+AF62</f>
        <v>0</v>
      </c>
      <c r="AP62">
        <f>AG62+AH62</f>
        <v>0</v>
      </c>
      <c r="AQ62">
        <f>AI62+AJ62</f>
        <v>0</v>
      </c>
      <c r="AR62">
        <f>AK62+AL62+AM62</f>
        <v>0</v>
      </c>
      <c r="AS62">
        <f>AN62*Weights!B3/100+AO62*Weights!B4/100+AP62*Weights!B5/100+AQ62*Weights!B6/100+AR62*Weights!B7/100</f>
        <v>0</v>
      </c>
      <c r="AT62" s="2" t="s">
        <v>358</v>
      </c>
      <c r="AU62" s="2" t="s">
        <v>416</v>
      </c>
      <c r="AY62" s="2" t="s">
        <v>486</v>
      </c>
      <c r="BB62" s="2" t="s">
        <v>602</v>
      </c>
      <c r="BD62" t="s">
        <v>695</v>
      </c>
    </row>
    <row r="63" spans="1:56">
      <c r="A63" t="s">
        <v>117</v>
      </c>
      <c r="B63" s="2" t="s">
        <v>216</v>
      </c>
      <c r="C63" t="s">
        <v>257</v>
      </c>
      <c r="D63">
        <v>1968</v>
      </c>
      <c r="F63" t="s">
        <v>267</v>
      </c>
      <c r="AB63">
        <f>VALUE(R63)*6</f>
        <v>0</v>
      </c>
      <c r="AC63">
        <f>IFERROR(VLOOKUP(K63,PointsMap!D2:E3,2,0),0)</f>
        <v>0</v>
      </c>
      <c r="AD63">
        <f>IFERROR(VLOOKUP(M63,PointsMap!G2:H5,2,0),0)</f>
        <v>0</v>
      </c>
      <c r="AE63">
        <f>IFERROR(VLOOKUP(AA63,PointsMap!M2:N5,2,0),0)</f>
        <v>0</v>
      </c>
      <c r="AF63">
        <f>IFERROR(VLOOKUP(Z63,PointsMap!J2:K5,2,0),0)</f>
        <v>0</v>
      </c>
      <c r="AG63">
        <f>MIN(8,VALUE(T63)*2)</f>
        <v>0</v>
      </c>
      <c r="AH63">
        <f>IFERROR(VLOOKUP(Q63,PointsMap!P2:Q5,2,0),0)</f>
        <v>0</v>
      </c>
      <c r="AI63">
        <f>MIN(8,ROUND(VALUE(G63)*8,0))</f>
        <v>0</v>
      </c>
      <c r="AJ63">
        <f>IFERROR(VLOOKUP(I63,PointsMap!A2:B5,2,0),0)</f>
        <v>0</v>
      </c>
      <c r="AK63">
        <f>IFERROR(VLOOKUP(W63,PointsMap!S2:T4,2,0),0)</f>
        <v>0</v>
      </c>
      <c r="AL63">
        <f>IFERROR(VLOOKUP(X63,PointsMap!V2:W4,2,0),0)</f>
        <v>0</v>
      </c>
      <c r="AM63">
        <f>MIN(5,VALUE(V63))</f>
        <v>0</v>
      </c>
      <c r="AN63">
        <f>AB63</f>
        <v>0</v>
      </c>
      <c r="AO63">
        <f>AC63+AD63+AE63+AF63</f>
        <v>0</v>
      </c>
      <c r="AP63">
        <f>AG63+AH63</f>
        <v>0</v>
      </c>
      <c r="AQ63">
        <f>AI63+AJ63</f>
        <v>0</v>
      </c>
      <c r="AR63">
        <f>AK63+AL63+AM63</f>
        <v>0</v>
      </c>
      <c r="AS63">
        <f>AN63*Weights!B3/100+AO63*Weights!B4/100+AP63*Weights!B5/100+AQ63*Weights!B6/100+AR63*Weights!B7/100</f>
        <v>0</v>
      </c>
      <c r="AT63" s="2" t="s">
        <v>359</v>
      </c>
      <c r="AU63" s="2" t="s">
        <v>417</v>
      </c>
      <c r="AY63" s="2" t="s">
        <v>487</v>
      </c>
      <c r="BB63" s="2" t="s">
        <v>603</v>
      </c>
      <c r="BD63" t="s">
        <v>696</v>
      </c>
    </row>
    <row r="64" spans="1:56">
      <c r="A64" t="s">
        <v>118</v>
      </c>
      <c r="B64" s="2" t="s">
        <v>217</v>
      </c>
      <c r="C64" t="s">
        <v>257</v>
      </c>
      <c r="D64">
        <v>1984</v>
      </c>
      <c r="F64" t="s">
        <v>263</v>
      </c>
      <c r="AB64">
        <f>VALUE(R64)*6</f>
        <v>0</v>
      </c>
      <c r="AC64">
        <f>IFERROR(VLOOKUP(K64,PointsMap!D2:E3,2,0),0)</f>
        <v>0</v>
      </c>
      <c r="AD64">
        <f>IFERROR(VLOOKUP(M64,PointsMap!G2:H5,2,0),0)</f>
        <v>0</v>
      </c>
      <c r="AE64">
        <f>IFERROR(VLOOKUP(AA64,PointsMap!M2:N5,2,0),0)</f>
        <v>0</v>
      </c>
      <c r="AF64">
        <f>IFERROR(VLOOKUP(Z64,PointsMap!J2:K5,2,0),0)</f>
        <v>0</v>
      </c>
      <c r="AG64">
        <f>MIN(8,VALUE(T64)*2)</f>
        <v>0</v>
      </c>
      <c r="AH64">
        <f>IFERROR(VLOOKUP(Q64,PointsMap!P2:Q5,2,0),0)</f>
        <v>0</v>
      </c>
      <c r="AI64">
        <f>MIN(8,ROUND(VALUE(G64)*8,0))</f>
        <v>0</v>
      </c>
      <c r="AJ64">
        <f>IFERROR(VLOOKUP(I64,PointsMap!A2:B5,2,0),0)</f>
        <v>0</v>
      </c>
      <c r="AK64">
        <f>IFERROR(VLOOKUP(W64,PointsMap!S2:T4,2,0),0)</f>
        <v>0</v>
      </c>
      <c r="AL64">
        <f>IFERROR(VLOOKUP(X64,PointsMap!V2:W4,2,0),0)</f>
        <v>0</v>
      </c>
      <c r="AM64">
        <f>MIN(5,VALUE(V64))</f>
        <v>0</v>
      </c>
      <c r="AN64">
        <f>AB64</f>
        <v>0</v>
      </c>
      <c r="AO64">
        <f>AC64+AD64+AE64+AF64</f>
        <v>0</v>
      </c>
      <c r="AP64">
        <f>AG64+AH64</f>
        <v>0</v>
      </c>
      <c r="AQ64">
        <f>AI64+AJ64</f>
        <v>0</v>
      </c>
      <c r="AR64">
        <f>AK64+AL64+AM64</f>
        <v>0</v>
      </c>
      <c r="AS64">
        <f>AN64*Weights!B3/100+AO64*Weights!B4/100+AP64*Weights!B5/100+AQ64*Weights!B6/100+AR64*Weights!B7/100</f>
        <v>0</v>
      </c>
      <c r="AT64" s="2" t="s">
        <v>360</v>
      </c>
      <c r="AU64" s="2" t="s">
        <v>418</v>
      </c>
      <c r="AY64" s="2" t="s">
        <v>488</v>
      </c>
      <c r="BB64" s="2" t="s">
        <v>604</v>
      </c>
      <c r="BD64" t="s">
        <v>697</v>
      </c>
    </row>
    <row r="65" spans="1:56">
      <c r="A65" t="s">
        <v>119</v>
      </c>
      <c r="B65" s="2" t="s">
        <v>218</v>
      </c>
      <c r="C65" t="s">
        <v>257</v>
      </c>
      <c r="D65">
        <v>1996</v>
      </c>
      <c r="F65" t="s">
        <v>263</v>
      </c>
      <c r="AB65">
        <f>VALUE(R65)*6</f>
        <v>0</v>
      </c>
      <c r="AC65">
        <f>IFERROR(VLOOKUP(K65,PointsMap!D2:E3,2,0),0)</f>
        <v>0</v>
      </c>
      <c r="AD65">
        <f>IFERROR(VLOOKUP(M65,PointsMap!G2:H5,2,0),0)</f>
        <v>0</v>
      </c>
      <c r="AE65">
        <f>IFERROR(VLOOKUP(AA65,PointsMap!M2:N5,2,0),0)</f>
        <v>0</v>
      </c>
      <c r="AF65">
        <f>IFERROR(VLOOKUP(Z65,PointsMap!J2:K5,2,0),0)</f>
        <v>0</v>
      </c>
      <c r="AG65">
        <f>MIN(8,VALUE(T65)*2)</f>
        <v>0</v>
      </c>
      <c r="AH65">
        <f>IFERROR(VLOOKUP(Q65,PointsMap!P2:Q5,2,0),0)</f>
        <v>0</v>
      </c>
      <c r="AI65">
        <f>MIN(8,ROUND(VALUE(G65)*8,0))</f>
        <v>0</v>
      </c>
      <c r="AJ65">
        <f>IFERROR(VLOOKUP(I65,PointsMap!A2:B5,2,0),0)</f>
        <v>0</v>
      </c>
      <c r="AK65">
        <f>IFERROR(VLOOKUP(W65,PointsMap!S2:T4,2,0),0)</f>
        <v>0</v>
      </c>
      <c r="AL65">
        <f>IFERROR(VLOOKUP(X65,PointsMap!V2:W4,2,0),0)</f>
        <v>0</v>
      </c>
      <c r="AM65">
        <f>MIN(5,VALUE(V65))</f>
        <v>0</v>
      </c>
      <c r="AN65">
        <f>AB65</f>
        <v>0</v>
      </c>
      <c r="AO65">
        <f>AC65+AD65+AE65+AF65</f>
        <v>0</v>
      </c>
      <c r="AP65">
        <f>AG65+AH65</f>
        <v>0</v>
      </c>
      <c r="AQ65">
        <f>AI65+AJ65</f>
        <v>0</v>
      </c>
      <c r="AR65">
        <f>AK65+AL65+AM65</f>
        <v>0</v>
      </c>
      <c r="AS65">
        <f>AN65*Weights!B3/100+AO65*Weights!B4/100+AP65*Weights!B5/100+AQ65*Weights!B6/100+AR65*Weights!B7/100</f>
        <v>0</v>
      </c>
      <c r="AT65" s="2" t="s">
        <v>361</v>
      </c>
      <c r="AY65" s="2" t="s">
        <v>489</v>
      </c>
      <c r="BB65" s="2" t="s">
        <v>605</v>
      </c>
      <c r="BD65" t="s">
        <v>698</v>
      </c>
    </row>
    <row r="66" spans="1:56">
      <c r="A66" t="s">
        <v>120</v>
      </c>
      <c r="B66" s="2" t="s">
        <v>219</v>
      </c>
      <c r="C66" t="s">
        <v>257</v>
      </c>
      <c r="D66">
        <v>1983</v>
      </c>
      <c r="F66" t="s">
        <v>263</v>
      </c>
      <c r="AB66">
        <f>VALUE(R66)*6</f>
        <v>0</v>
      </c>
      <c r="AC66">
        <f>IFERROR(VLOOKUP(K66,PointsMap!D2:E3,2,0),0)</f>
        <v>0</v>
      </c>
      <c r="AD66">
        <f>IFERROR(VLOOKUP(M66,PointsMap!G2:H5,2,0),0)</f>
        <v>0</v>
      </c>
      <c r="AE66">
        <f>IFERROR(VLOOKUP(AA66,PointsMap!M2:N5,2,0),0)</f>
        <v>0</v>
      </c>
      <c r="AF66">
        <f>IFERROR(VLOOKUP(Z66,PointsMap!J2:K5,2,0),0)</f>
        <v>0</v>
      </c>
      <c r="AG66">
        <f>MIN(8,VALUE(T66)*2)</f>
        <v>0</v>
      </c>
      <c r="AH66">
        <f>IFERROR(VLOOKUP(Q66,PointsMap!P2:Q5,2,0),0)</f>
        <v>0</v>
      </c>
      <c r="AI66">
        <f>MIN(8,ROUND(VALUE(G66)*8,0))</f>
        <v>0</v>
      </c>
      <c r="AJ66">
        <f>IFERROR(VLOOKUP(I66,PointsMap!A2:B5,2,0),0)</f>
        <v>0</v>
      </c>
      <c r="AK66">
        <f>IFERROR(VLOOKUP(W66,PointsMap!S2:T4,2,0),0)</f>
        <v>0</v>
      </c>
      <c r="AL66">
        <f>IFERROR(VLOOKUP(X66,PointsMap!V2:W4,2,0),0)</f>
        <v>0</v>
      </c>
      <c r="AM66">
        <f>MIN(5,VALUE(V66))</f>
        <v>0</v>
      </c>
      <c r="AN66">
        <f>AB66</f>
        <v>0</v>
      </c>
      <c r="AO66">
        <f>AC66+AD66+AE66+AF66</f>
        <v>0</v>
      </c>
      <c r="AP66">
        <f>AG66+AH66</f>
        <v>0</v>
      </c>
      <c r="AQ66">
        <f>AI66+AJ66</f>
        <v>0</v>
      </c>
      <c r="AR66">
        <f>AK66+AL66+AM66</f>
        <v>0</v>
      </c>
      <c r="AS66">
        <f>AN66*Weights!B3/100+AO66*Weights!B4/100+AP66*Weights!B5/100+AQ66*Weights!B6/100+AR66*Weights!B7/100</f>
        <v>0</v>
      </c>
      <c r="AT66" s="2" t="s">
        <v>362</v>
      </c>
      <c r="AY66" s="2" t="s">
        <v>490</v>
      </c>
      <c r="BB66" s="2" t="s">
        <v>606</v>
      </c>
      <c r="BD66" t="s">
        <v>699</v>
      </c>
    </row>
    <row r="67" spans="1:56">
      <c r="A67" t="s">
        <v>121</v>
      </c>
      <c r="B67" s="2" t="s">
        <v>220</v>
      </c>
      <c r="C67" t="s">
        <v>260</v>
      </c>
      <c r="D67">
        <v>2000</v>
      </c>
      <c r="F67" t="s">
        <v>263</v>
      </c>
      <c r="AB67">
        <f>VALUE(R67)*6</f>
        <v>0</v>
      </c>
      <c r="AC67">
        <f>IFERROR(VLOOKUP(K67,PointsMap!D2:E3,2,0),0)</f>
        <v>0</v>
      </c>
      <c r="AD67">
        <f>IFERROR(VLOOKUP(M67,PointsMap!G2:H5,2,0),0)</f>
        <v>0</v>
      </c>
      <c r="AE67">
        <f>IFERROR(VLOOKUP(AA67,PointsMap!M2:N5,2,0),0)</f>
        <v>0</v>
      </c>
      <c r="AF67">
        <f>IFERROR(VLOOKUP(Z67,PointsMap!J2:K5,2,0),0)</f>
        <v>0</v>
      </c>
      <c r="AG67">
        <f>MIN(8,VALUE(T67)*2)</f>
        <v>0</v>
      </c>
      <c r="AH67">
        <f>IFERROR(VLOOKUP(Q67,PointsMap!P2:Q5,2,0),0)</f>
        <v>0</v>
      </c>
      <c r="AI67">
        <f>MIN(8,ROUND(VALUE(G67)*8,0))</f>
        <v>0</v>
      </c>
      <c r="AJ67">
        <f>IFERROR(VLOOKUP(I67,PointsMap!A2:B5,2,0),0)</f>
        <v>0</v>
      </c>
      <c r="AK67">
        <f>IFERROR(VLOOKUP(W67,PointsMap!S2:T4,2,0),0)</f>
        <v>0</v>
      </c>
      <c r="AL67">
        <f>IFERROR(VLOOKUP(X67,PointsMap!V2:W4,2,0),0)</f>
        <v>0</v>
      </c>
      <c r="AM67">
        <f>MIN(5,VALUE(V67))</f>
        <v>0</v>
      </c>
      <c r="AN67">
        <f>AB67</f>
        <v>0</v>
      </c>
      <c r="AO67">
        <f>AC67+AD67+AE67+AF67</f>
        <v>0</v>
      </c>
      <c r="AP67">
        <f>AG67+AH67</f>
        <v>0</v>
      </c>
      <c r="AQ67">
        <f>AI67+AJ67</f>
        <v>0</v>
      </c>
      <c r="AR67">
        <f>AK67+AL67+AM67</f>
        <v>0</v>
      </c>
      <c r="AS67">
        <f>AN67*Weights!B3/100+AO67*Weights!B4/100+AP67*Weights!B5/100+AQ67*Weights!B6/100+AR67*Weights!B7/100</f>
        <v>0</v>
      </c>
      <c r="AT67" s="2" t="s">
        <v>363</v>
      </c>
      <c r="AU67" s="2" t="s">
        <v>419</v>
      </c>
      <c r="AY67" s="2" t="s">
        <v>491</v>
      </c>
      <c r="BB67" s="2" t="s">
        <v>607</v>
      </c>
      <c r="BD67" t="s">
        <v>700</v>
      </c>
    </row>
    <row r="68" spans="1:56">
      <c r="A68" t="s">
        <v>122</v>
      </c>
      <c r="B68" s="2" t="s">
        <v>221</v>
      </c>
      <c r="C68" t="s">
        <v>257</v>
      </c>
      <c r="D68">
        <v>2021</v>
      </c>
      <c r="F68" t="s">
        <v>263</v>
      </c>
      <c r="AB68">
        <f>VALUE(R68)*6</f>
        <v>0</v>
      </c>
      <c r="AC68">
        <f>IFERROR(VLOOKUP(K68,PointsMap!D2:E3,2,0),0)</f>
        <v>0</v>
      </c>
      <c r="AD68">
        <f>IFERROR(VLOOKUP(M68,PointsMap!G2:H5,2,0),0)</f>
        <v>0</v>
      </c>
      <c r="AE68">
        <f>IFERROR(VLOOKUP(AA68,PointsMap!M2:N5,2,0),0)</f>
        <v>0</v>
      </c>
      <c r="AF68">
        <f>IFERROR(VLOOKUP(Z68,PointsMap!J2:K5,2,0),0)</f>
        <v>0</v>
      </c>
      <c r="AG68">
        <f>MIN(8,VALUE(T68)*2)</f>
        <v>0</v>
      </c>
      <c r="AH68">
        <f>IFERROR(VLOOKUP(Q68,PointsMap!P2:Q5,2,0),0)</f>
        <v>0</v>
      </c>
      <c r="AI68">
        <f>MIN(8,ROUND(VALUE(G68)*8,0))</f>
        <v>0</v>
      </c>
      <c r="AJ68">
        <f>IFERROR(VLOOKUP(I68,PointsMap!A2:B5,2,0),0)</f>
        <v>0</v>
      </c>
      <c r="AK68">
        <f>IFERROR(VLOOKUP(W68,PointsMap!S2:T4,2,0),0)</f>
        <v>0</v>
      </c>
      <c r="AL68">
        <f>IFERROR(VLOOKUP(X68,PointsMap!V2:W4,2,0),0)</f>
        <v>0</v>
      </c>
      <c r="AM68">
        <f>MIN(5,VALUE(V68))</f>
        <v>0</v>
      </c>
      <c r="AN68">
        <f>AB68</f>
        <v>0</v>
      </c>
      <c r="AO68">
        <f>AC68+AD68+AE68+AF68</f>
        <v>0</v>
      </c>
      <c r="AP68">
        <f>AG68+AH68</f>
        <v>0</v>
      </c>
      <c r="AQ68">
        <f>AI68+AJ68</f>
        <v>0</v>
      </c>
      <c r="AR68">
        <f>AK68+AL68+AM68</f>
        <v>0</v>
      </c>
      <c r="AS68">
        <f>AN68*Weights!B3/100+AO68*Weights!B4/100+AP68*Weights!B5/100+AQ68*Weights!B6/100+AR68*Weights!B7/100</f>
        <v>0</v>
      </c>
      <c r="AT68" s="2" t="s">
        <v>364</v>
      </c>
      <c r="AU68" s="2" t="s">
        <v>420</v>
      </c>
      <c r="AY68" s="2" t="s">
        <v>492</v>
      </c>
      <c r="BB68" s="2" t="s">
        <v>608</v>
      </c>
      <c r="BD68" t="s">
        <v>701</v>
      </c>
    </row>
    <row r="69" spans="1:56">
      <c r="A69" t="s">
        <v>123</v>
      </c>
      <c r="B69" s="2" t="s">
        <v>185</v>
      </c>
      <c r="C69" t="s">
        <v>257</v>
      </c>
      <c r="D69">
        <v>1976</v>
      </c>
      <c r="F69" t="s">
        <v>262</v>
      </c>
      <c r="AB69">
        <f>VALUE(R69)*6</f>
        <v>0</v>
      </c>
      <c r="AC69">
        <f>IFERROR(VLOOKUP(K69,PointsMap!D2:E3,2,0),0)</f>
        <v>0</v>
      </c>
      <c r="AD69">
        <f>IFERROR(VLOOKUP(M69,PointsMap!G2:H5,2,0),0)</f>
        <v>0</v>
      </c>
      <c r="AE69">
        <f>IFERROR(VLOOKUP(AA69,PointsMap!M2:N5,2,0),0)</f>
        <v>0</v>
      </c>
      <c r="AF69">
        <f>IFERROR(VLOOKUP(Z69,PointsMap!J2:K5,2,0),0)</f>
        <v>0</v>
      </c>
      <c r="AG69">
        <f>MIN(8,VALUE(T69)*2)</f>
        <v>0</v>
      </c>
      <c r="AH69">
        <f>IFERROR(VLOOKUP(Q69,PointsMap!P2:Q5,2,0),0)</f>
        <v>0</v>
      </c>
      <c r="AI69">
        <f>MIN(8,ROUND(VALUE(G69)*8,0))</f>
        <v>0</v>
      </c>
      <c r="AJ69">
        <f>IFERROR(VLOOKUP(I69,PointsMap!A2:B5,2,0),0)</f>
        <v>0</v>
      </c>
      <c r="AK69">
        <f>IFERROR(VLOOKUP(W69,PointsMap!S2:T4,2,0),0)</f>
        <v>0</v>
      </c>
      <c r="AL69">
        <f>IFERROR(VLOOKUP(X69,PointsMap!V2:W4,2,0),0)</f>
        <v>0</v>
      </c>
      <c r="AM69">
        <f>MIN(5,VALUE(V69))</f>
        <v>0</v>
      </c>
      <c r="AN69">
        <f>AB69</f>
        <v>0</v>
      </c>
      <c r="AO69">
        <f>AC69+AD69+AE69+AF69</f>
        <v>0</v>
      </c>
      <c r="AP69">
        <f>AG69+AH69</f>
        <v>0</v>
      </c>
      <c r="AQ69">
        <f>AI69+AJ69</f>
        <v>0</v>
      </c>
      <c r="AR69">
        <f>AK69+AL69+AM69</f>
        <v>0</v>
      </c>
      <c r="AS69">
        <f>AN69*Weights!B3/100+AO69*Weights!B4/100+AP69*Weights!B5/100+AQ69*Weights!B6/100+AR69*Weights!B7/100</f>
        <v>0</v>
      </c>
    </row>
    <row r="70" spans="1:56">
      <c r="A70" t="s">
        <v>124</v>
      </c>
      <c r="B70" s="2" t="s">
        <v>222</v>
      </c>
      <c r="C70" t="s">
        <v>253</v>
      </c>
      <c r="F70" t="s">
        <v>262</v>
      </c>
      <c r="AB70">
        <f>VALUE(R70)*6</f>
        <v>0</v>
      </c>
      <c r="AC70">
        <f>IFERROR(VLOOKUP(K70,PointsMap!D2:E3,2,0),0)</f>
        <v>0</v>
      </c>
      <c r="AD70">
        <f>IFERROR(VLOOKUP(M70,PointsMap!G2:H5,2,0),0)</f>
        <v>0</v>
      </c>
      <c r="AE70">
        <f>IFERROR(VLOOKUP(AA70,PointsMap!M2:N5,2,0),0)</f>
        <v>0</v>
      </c>
      <c r="AF70">
        <f>IFERROR(VLOOKUP(Z70,PointsMap!J2:K5,2,0),0)</f>
        <v>0</v>
      </c>
      <c r="AG70">
        <f>MIN(8,VALUE(T70)*2)</f>
        <v>0</v>
      </c>
      <c r="AH70">
        <f>IFERROR(VLOOKUP(Q70,PointsMap!P2:Q5,2,0),0)</f>
        <v>0</v>
      </c>
      <c r="AI70">
        <f>MIN(8,ROUND(VALUE(G70)*8,0))</f>
        <v>0</v>
      </c>
      <c r="AJ70">
        <f>IFERROR(VLOOKUP(I70,PointsMap!A2:B5,2,0),0)</f>
        <v>0</v>
      </c>
      <c r="AK70">
        <f>IFERROR(VLOOKUP(W70,PointsMap!S2:T4,2,0),0)</f>
        <v>0</v>
      </c>
      <c r="AL70">
        <f>IFERROR(VLOOKUP(X70,PointsMap!V2:W4,2,0),0)</f>
        <v>0</v>
      </c>
      <c r="AM70">
        <f>MIN(5,VALUE(V70))</f>
        <v>0</v>
      </c>
      <c r="AN70">
        <f>AB70</f>
        <v>0</v>
      </c>
      <c r="AO70">
        <f>AC70+AD70+AE70+AF70</f>
        <v>0</v>
      </c>
      <c r="AP70">
        <f>AG70+AH70</f>
        <v>0</v>
      </c>
      <c r="AQ70">
        <f>AI70+AJ70</f>
        <v>0</v>
      </c>
      <c r="AR70">
        <f>AK70+AL70+AM70</f>
        <v>0</v>
      </c>
      <c r="AS70">
        <f>AN70*Weights!B3/100+AO70*Weights!B4/100+AP70*Weights!B5/100+AQ70*Weights!B6/100+AR70*Weights!B7/100</f>
        <v>0</v>
      </c>
      <c r="AT70" s="2" t="s">
        <v>365</v>
      </c>
      <c r="AY70" s="2" t="s">
        <v>493</v>
      </c>
      <c r="BB70" s="2" t="s">
        <v>609</v>
      </c>
      <c r="BD70" t="s">
        <v>702</v>
      </c>
    </row>
    <row r="71" spans="1:56">
      <c r="A71" t="s">
        <v>125</v>
      </c>
      <c r="B71" s="2" t="s">
        <v>223</v>
      </c>
      <c r="C71" t="s">
        <v>253</v>
      </c>
      <c r="F71" t="s">
        <v>262</v>
      </c>
      <c r="AB71">
        <f>VALUE(R71)*6</f>
        <v>0</v>
      </c>
      <c r="AC71">
        <f>IFERROR(VLOOKUP(K71,PointsMap!D2:E3,2,0),0)</f>
        <v>0</v>
      </c>
      <c r="AD71">
        <f>IFERROR(VLOOKUP(M71,PointsMap!G2:H5,2,0),0)</f>
        <v>0</v>
      </c>
      <c r="AE71">
        <f>IFERROR(VLOOKUP(AA71,PointsMap!M2:N5,2,0),0)</f>
        <v>0</v>
      </c>
      <c r="AF71">
        <f>IFERROR(VLOOKUP(Z71,PointsMap!J2:K5,2,0),0)</f>
        <v>0</v>
      </c>
      <c r="AG71">
        <f>MIN(8,VALUE(T71)*2)</f>
        <v>0</v>
      </c>
      <c r="AH71">
        <f>IFERROR(VLOOKUP(Q71,PointsMap!P2:Q5,2,0),0)</f>
        <v>0</v>
      </c>
      <c r="AI71">
        <f>MIN(8,ROUND(VALUE(G71)*8,0))</f>
        <v>0</v>
      </c>
      <c r="AJ71">
        <f>IFERROR(VLOOKUP(I71,PointsMap!A2:B5,2,0),0)</f>
        <v>0</v>
      </c>
      <c r="AK71">
        <f>IFERROR(VLOOKUP(W71,PointsMap!S2:T4,2,0),0)</f>
        <v>0</v>
      </c>
      <c r="AL71">
        <f>IFERROR(VLOOKUP(X71,PointsMap!V2:W4,2,0),0)</f>
        <v>0</v>
      </c>
      <c r="AM71">
        <f>MIN(5,VALUE(V71))</f>
        <v>0</v>
      </c>
      <c r="AN71">
        <f>AB71</f>
        <v>0</v>
      </c>
      <c r="AO71">
        <f>AC71+AD71+AE71+AF71</f>
        <v>0</v>
      </c>
      <c r="AP71">
        <f>AG71+AH71</f>
        <v>0</v>
      </c>
      <c r="AQ71">
        <f>AI71+AJ71</f>
        <v>0</v>
      </c>
      <c r="AR71">
        <f>AK71+AL71+AM71</f>
        <v>0</v>
      </c>
      <c r="AS71">
        <f>AN71*Weights!B3/100+AO71*Weights!B4/100+AP71*Weights!B5/100+AQ71*Weights!B6/100+AR71*Weights!B7/100</f>
        <v>0</v>
      </c>
      <c r="AT71" s="2" t="s">
        <v>366</v>
      </c>
      <c r="AY71" s="2" t="s">
        <v>494</v>
      </c>
      <c r="BB71" s="2" t="s">
        <v>610</v>
      </c>
      <c r="BD71" t="s">
        <v>703</v>
      </c>
    </row>
    <row r="72" spans="1:56">
      <c r="A72" t="s">
        <v>126</v>
      </c>
      <c r="B72" s="2" t="s">
        <v>224</v>
      </c>
      <c r="C72" t="s">
        <v>255</v>
      </c>
      <c r="D72">
        <v>2013</v>
      </c>
      <c r="E72">
        <v>7</v>
      </c>
      <c r="F72" t="s">
        <v>265</v>
      </c>
      <c r="I72" t="s">
        <v>270</v>
      </c>
      <c r="J72" t="s">
        <v>275</v>
      </c>
      <c r="M72" t="s">
        <v>278</v>
      </c>
      <c r="R72" t="s">
        <v>284</v>
      </c>
      <c r="S72" t="s">
        <v>287</v>
      </c>
      <c r="U72" t="s">
        <v>294</v>
      </c>
      <c r="W72" t="s">
        <v>295</v>
      </c>
      <c r="X72" t="s">
        <v>297</v>
      </c>
      <c r="Y72" t="s">
        <v>299</v>
      </c>
      <c r="Z72" t="s">
        <v>302</v>
      </c>
      <c r="AA72" t="s">
        <v>307</v>
      </c>
      <c r="AB72">
        <f>VALUE(R72)*6</f>
        <v>0</v>
      </c>
      <c r="AC72">
        <f>IFERROR(VLOOKUP(K72,PointsMap!D2:E3,2,0),0)</f>
        <v>0</v>
      </c>
      <c r="AD72">
        <f>IFERROR(VLOOKUP(M72,PointsMap!G2:H5,2,0),0)</f>
        <v>0</v>
      </c>
      <c r="AE72">
        <f>IFERROR(VLOOKUP(AA72,PointsMap!M2:N5,2,0),0)</f>
        <v>0</v>
      </c>
      <c r="AF72">
        <f>IFERROR(VLOOKUP(Z72,PointsMap!J2:K5,2,0),0)</f>
        <v>0</v>
      </c>
      <c r="AG72">
        <f>MIN(8,VALUE(T72)*2)</f>
        <v>0</v>
      </c>
      <c r="AH72">
        <f>IFERROR(VLOOKUP(Q72,PointsMap!P2:Q5,2,0),0)</f>
        <v>0</v>
      </c>
      <c r="AI72">
        <f>MIN(8,ROUND(VALUE(G72)*8,0))</f>
        <v>0</v>
      </c>
      <c r="AJ72">
        <f>IFERROR(VLOOKUP(I72,PointsMap!A2:B5,2,0),0)</f>
        <v>0</v>
      </c>
      <c r="AK72">
        <f>IFERROR(VLOOKUP(W72,PointsMap!S2:T4,2,0),0)</f>
        <v>0</v>
      </c>
      <c r="AL72">
        <f>IFERROR(VLOOKUP(X72,PointsMap!V2:W4,2,0),0)</f>
        <v>0</v>
      </c>
      <c r="AM72">
        <f>MIN(5,VALUE(V72))</f>
        <v>0</v>
      </c>
      <c r="AN72">
        <f>AB72</f>
        <v>0</v>
      </c>
      <c r="AO72">
        <f>AC72+AD72+AE72+AF72</f>
        <v>0</v>
      </c>
      <c r="AP72">
        <f>AG72+AH72</f>
        <v>0</v>
      </c>
      <c r="AQ72">
        <f>AI72+AJ72</f>
        <v>0</v>
      </c>
      <c r="AR72">
        <f>AK72+AL72+AM72</f>
        <v>0</v>
      </c>
      <c r="AS72">
        <f>AN72*Weights!B3/100+AO72*Weights!B4/100+AP72*Weights!B5/100+AQ72*Weights!B6/100+AR72*Weights!B7/100</f>
        <v>0</v>
      </c>
      <c r="AT72" s="2" t="s">
        <v>367</v>
      </c>
      <c r="AY72" s="2" t="s">
        <v>495</v>
      </c>
      <c r="BB72" s="2" t="s">
        <v>611</v>
      </c>
      <c r="BD72" t="s">
        <v>704</v>
      </c>
    </row>
    <row r="73" spans="1:56">
      <c r="A73" t="s">
        <v>127</v>
      </c>
      <c r="B73" s="2" t="s">
        <v>225</v>
      </c>
      <c r="C73" t="s">
        <v>255</v>
      </c>
      <c r="D73">
        <v>2002</v>
      </c>
      <c r="E73">
        <v>4</v>
      </c>
      <c r="F73" t="s">
        <v>265</v>
      </c>
      <c r="I73" t="s">
        <v>270</v>
      </c>
      <c r="J73" t="s">
        <v>275</v>
      </c>
      <c r="M73" t="s">
        <v>279</v>
      </c>
      <c r="R73" t="s">
        <v>285</v>
      </c>
      <c r="S73" t="s">
        <v>289</v>
      </c>
      <c r="U73" t="s">
        <v>294</v>
      </c>
      <c r="W73" t="s">
        <v>283</v>
      </c>
      <c r="X73" t="s">
        <v>297</v>
      </c>
      <c r="Y73" t="s">
        <v>301</v>
      </c>
      <c r="Z73" t="s">
        <v>304</v>
      </c>
      <c r="AA73" t="s">
        <v>283</v>
      </c>
      <c r="AB73">
        <f>VALUE(R73)*6</f>
        <v>0</v>
      </c>
      <c r="AC73">
        <f>IFERROR(VLOOKUP(K73,PointsMap!D2:E3,2,0),0)</f>
        <v>0</v>
      </c>
      <c r="AD73">
        <f>IFERROR(VLOOKUP(M73,PointsMap!G2:H5,2,0),0)</f>
        <v>0</v>
      </c>
      <c r="AE73">
        <f>IFERROR(VLOOKUP(AA73,PointsMap!M2:N5,2,0),0)</f>
        <v>0</v>
      </c>
      <c r="AF73">
        <f>IFERROR(VLOOKUP(Z73,PointsMap!J2:K5,2,0),0)</f>
        <v>0</v>
      </c>
      <c r="AG73">
        <f>MIN(8,VALUE(T73)*2)</f>
        <v>0</v>
      </c>
      <c r="AH73">
        <f>IFERROR(VLOOKUP(Q73,PointsMap!P2:Q5,2,0),0)</f>
        <v>0</v>
      </c>
      <c r="AI73">
        <f>MIN(8,ROUND(VALUE(G73)*8,0))</f>
        <v>0</v>
      </c>
      <c r="AJ73">
        <f>IFERROR(VLOOKUP(I73,PointsMap!A2:B5,2,0),0)</f>
        <v>0</v>
      </c>
      <c r="AK73">
        <f>IFERROR(VLOOKUP(W73,PointsMap!S2:T4,2,0),0)</f>
        <v>0</v>
      </c>
      <c r="AL73">
        <f>IFERROR(VLOOKUP(X73,PointsMap!V2:W4,2,0),0)</f>
        <v>0</v>
      </c>
      <c r="AM73">
        <f>MIN(5,VALUE(V73))</f>
        <v>0</v>
      </c>
      <c r="AN73">
        <f>AB73</f>
        <v>0</v>
      </c>
      <c r="AO73">
        <f>AC73+AD73+AE73+AF73</f>
        <v>0</v>
      </c>
      <c r="AP73">
        <f>AG73+AH73</f>
        <v>0</v>
      </c>
      <c r="AQ73">
        <f>AI73+AJ73</f>
        <v>0</v>
      </c>
      <c r="AR73">
        <f>AK73+AL73+AM73</f>
        <v>0</v>
      </c>
      <c r="AS73">
        <f>AN73*Weights!B3/100+AO73*Weights!B4/100+AP73*Weights!B5/100+AQ73*Weights!B6/100+AR73*Weights!B7/100</f>
        <v>0</v>
      </c>
      <c r="AT73" s="2" t="s">
        <v>368</v>
      </c>
      <c r="AY73" s="2" t="s">
        <v>496</v>
      </c>
      <c r="BB73" s="2" t="s">
        <v>612</v>
      </c>
      <c r="BD73" t="s">
        <v>705</v>
      </c>
    </row>
    <row r="74" spans="1:56">
      <c r="A74" t="s">
        <v>128</v>
      </c>
      <c r="B74" s="2" t="s">
        <v>226</v>
      </c>
      <c r="C74" t="s">
        <v>255</v>
      </c>
      <c r="D74">
        <v>2006</v>
      </c>
      <c r="E74">
        <v>3</v>
      </c>
      <c r="F74" t="s">
        <v>266</v>
      </c>
      <c r="I74" t="s">
        <v>272</v>
      </c>
      <c r="J74" t="s">
        <v>275</v>
      </c>
      <c r="M74" t="s">
        <v>279</v>
      </c>
      <c r="R74" t="s">
        <v>284</v>
      </c>
      <c r="S74" t="s">
        <v>287</v>
      </c>
      <c r="U74" t="s">
        <v>291</v>
      </c>
      <c r="W74" t="s">
        <v>283</v>
      </c>
      <c r="X74" t="s">
        <v>297</v>
      </c>
      <c r="Y74" t="s">
        <v>299</v>
      </c>
      <c r="Z74" t="s">
        <v>302</v>
      </c>
      <c r="AA74" t="s">
        <v>283</v>
      </c>
      <c r="AB74">
        <f>VALUE(R74)*6</f>
        <v>0</v>
      </c>
      <c r="AC74">
        <f>IFERROR(VLOOKUP(K74,PointsMap!D2:E3,2,0),0)</f>
        <v>0</v>
      </c>
      <c r="AD74">
        <f>IFERROR(VLOOKUP(M74,PointsMap!G2:H5,2,0),0)</f>
        <v>0</v>
      </c>
      <c r="AE74">
        <f>IFERROR(VLOOKUP(AA74,PointsMap!M2:N5,2,0),0)</f>
        <v>0</v>
      </c>
      <c r="AF74">
        <f>IFERROR(VLOOKUP(Z74,PointsMap!J2:K5,2,0),0)</f>
        <v>0</v>
      </c>
      <c r="AG74">
        <f>MIN(8,VALUE(T74)*2)</f>
        <v>0</v>
      </c>
      <c r="AH74">
        <f>IFERROR(VLOOKUP(Q74,PointsMap!P2:Q5,2,0),0)</f>
        <v>0</v>
      </c>
      <c r="AI74">
        <f>MIN(8,ROUND(VALUE(G74)*8,0))</f>
        <v>0</v>
      </c>
      <c r="AJ74">
        <f>IFERROR(VLOOKUP(I74,PointsMap!A2:B5,2,0),0)</f>
        <v>0</v>
      </c>
      <c r="AK74">
        <f>IFERROR(VLOOKUP(W74,PointsMap!S2:T4,2,0),0)</f>
        <v>0</v>
      </c>
      <c r="AL74">
        <f>IFERROR(VLOOKUP(X74,PointsMap!V2:W4,2,0),0)</f>
        <v>0</v>
      </c>
      <c r="AM74">
        <f>MIN(5,VALUE(V74))</f>
        <v>0</v>
      </c>
      <c r="AN74">
        <f>AB74</f>
        <v>0</v>
      </c>
      <c r="AO74">
        <f>AC74+AD74+AE74+AF74</f>
        <v>0</v>
      </c>
      <c r="AP74">
        <f>AG74+AH74</f>
        <v>0</v>
      </c>
      <c r="AQ74">
        <f>AI74+AJ74</f>
        <v>0</v>
      </c>
      <c r="AR74">
        <f>AK74+AL74+AM74</f>
        <v>0</v>
      </c>
      <c r="AS74">
        <f>AN74*Weights!B3/100+AO74*Weights!B4/100+AP74*Weights!B5/100+AQ74*Weights!B6/100+AR74*Weights!B7/100</f>
        <v>0</v>
      </c>
      <c r="AT74" s="2" t="s">
        <v>369</v>
      </c>
      <c r="AY74" s="2" t="s">
        <v>497</v>
      </c>
      <c r="BB74" s="2" t="s">
        <v>613</v>
      </c>
      <c r="BD74" t="s">
        <v>706</v>
      </c>
    </row>
    <row r="75" spans="1:56">
      <c r="A75" t="s">
        <v>129</v>
      </c>
      <c r="B75" s="2" t="s">
        <v>227</v>
      </c>
      <c r="C75" t="s">
        <v>255</v>
      </c>
      <c r="D75">
        <v>2004</v>
      </c>
      <c r="E75">
        <v>3</v>
      </c>
      <c r="F75" t="s">
        <v>266</v>
      </c>
      <c r="I75" t="s">
        <v>270</v>
      </c>
      <c r="J75" t="s">
        <v>275</v>
      </c>
      <c r="M75" t="s">
        <v>278</v>
      </c>
      <c r="R75" t="s">
        <v>284</v>
      </c>
      <c r="S75" t="s">
        <v>287</v>
      </c>
      <c r="U75" t="s">
        <v>291</v>
      </c>
      <c r="W75" t="s">
        <v>295</v>
      </c>
      <c r="X75" t="s">
        <v>298</v>
      </c>
      <c r="Y75" t="s">
        <v>299</v>
      </c>
      <c r="Z75" t="s">
        <v>302</v>
      </c>
      <c r="AA75" t="s">
        <v>307</v>
      </c>
      <c r="AB75">
        <f>VALUE(R75)*6</f>
        <v>0</v>
      </c>
      <c r="AC75">
        <f>IFERROR(VLOOKUP(K75,PointsMap!D2:E3,2,0),0)</f>
        <v>0</v>
      </c>
      <c r="AD75">
        <f>IFERROR(VLOOKUP(M75,PointsMap!G2:H5,2,0),0)</f>
        <v>0</v>
      </c>
      <c r="AE75">
        <f>IFERROR(VLOOKUP(AA75,PointsMap!M2:N5,2,0),0)</f>
        <v>0</v>
      </c>
      <c r="AF75">
        <f>IFERROR(VLOOKUP(Z75,PointsMap!J2:K5,2,0),0)</f>
        <v>0</v>
      </c>
      <c r="AG75">
        <f>MIN(8,VALUE(T75)*2)</f>
        <v>0</v>
      </c>
      <c r="AH75">
        <f>IFERROR(VLOOKUP(Q75,PointsMap!P2:Q5,2,0),0)</f>
        <v>0</v>
      </c>
      <c r="AI75">
        <f>MIN(8,ROUND(VALUE(G75)*8,0))</f>
        <v>0</v>
      </c>
      <c r="AJ75">
        <f>IFERROR(VLOOKUP(I75,PointsMap!A2:B5,2,0),0)</f>
        <v>0</v>
      </c>
      <c r="AK75">
        <f>IFERROR(VLOOKUP(W75,PointsMap!S2:T4,2,0),0)</f>
        <v>0</v>
      </c>
      <c r="AL75">
        <f>IFERROR(VLOOKUP(X75,PointsMap!V2:W4,2,0),0)</f>
        <v>0</v>
      </c>
      <c r="AM75">
        <f>MIN(5,VALUE(V75))</f>
        <v>0</v>
      </c>
      <c r="AN75">
        <f>AB75</f>
        <v>0</v>
      </c>
      <c r="AO75">
        <f>AC75+AD75+AE75+AF75</f>
        <v>0</v>
      </c>
      <c r="AP75">
        <f>AG75+AH75</f>
        <v>0</v>
      </c>
      <c r="AQ75">
        <f>AI75+AJ75</f>
        <v>0</v>
      </c>
      <c r="AR75">
        <f>AK75+AL75+AM75</f>
        <v>0</v>
      </c>
      <c r="AS75">
        <f>AN75*Weights!B3/100+AO75*Weights!B4/100+AP75*Weights!B5/100+AQ75*Weights!B6/100+AR75*Weights!B7/100</f>
        <v>0</v>
      </c>
      <c r="AT75" s="2" t="s">
        <v>370</v>
      </c>
      <c r="AY75" s="2" t="s">
        <v>498</v>
      </c>
      <c r="BB75" s="2" t="s">
        <v>614</v>
      </c>
      <c r="BD75" t="s">
        <v>707</v>
      </c>
    </row>
    <row r="76" spans="1:56">
      <c r="A76" t="s">
        <v>130</v>
      </c>
      <c r="B76" s="2" t="s">
        <v>228</v>
      </c>
      <c r="C76" t="s">
        <v>255</v>
      </c>
      <c r="D76">
        <v>1999</v>
      </c>
      <c r="E76">
        <v>3</v>
      </c>
      <c r="F76" t="s">
        <v>266</v>
      </c>
      <c r="I76" t="s">
        <v>270</v>
      </c>
      <c r="J76" t="s">
        <v>275</v>
      </c>
      <c r="M76" t="s">
        <v>279</v>
      </c>
      <c r="R76" t="s">
        <v>285</v>
      </c>
      <c r="S76" t="s">
        <v>290</v>
      </c>
      <c r="U76" t="s">
        <v>294</v>
      </c>
      <c r="W76" t="s">
        <v>283</v>
      </c>
      <c r="X76" t="s">
        <v>298</v>
      </c>
      <c r="Y76" t="s">
        <v>301</v>
      </c>
      <c r="Z76" t="s">
        <v>304</v>
      </c>
      <c r="AA76" t="s">
        <v>283</v>
      </c>
      <c r="AB76">
        <f>VALUE(R76)*6</f>
        <v>0</v>
      </c>
      <c r="AC76">
        <f>IFERROR(VLOOKUP(K76,PointsMap!D2:E3,2,0),0)</f>
        <v>0</v>
      </c>
      <c r="AD76">
        <f>IFERROR(VLOOKUP(M76,PointsMap!G2:H5,2,0),0)</f>
        <v>0</v>
      </c>
      <c r="AE76">
        <f>IFERROR(VLOOKUP(AA76,PointsMap!M2:N5,2,0),0)</f>
        <v>0</v>
      </c>
      <c r="AF76">
        <f>IFERROR(VLOOKUP(Z76,PointsMap!J2:K5,2,0),0)</f>
        <v>0</v>
      </c>
      <c r="AG76">
        <f>MIN(8,VALUE(T76)*2)</f>
        <v>0</v>
      </c>
      <c r="AH76">
        <f>IFERROR(VLOOKUP(Q76,PointsMap!P2:Q5,2,0),0)</f>
        <v>0</v>
      </c>
      <c r="AI76">
        <f>MIN(8,ROUND(VALUE(G76)*8,0))</f>
        <v>0</v>
      </c>
      <c r="AJ76">
        <f>IFERROR(VLOOKUP(I76,PointsMap!A2:B5,2,0),0)</f>
        <v>0</v>
      </c>
      <c r="AK76">
        <f>IFERROR(VLOOKUP(W76,PointsMap!S2:T4,2,0),0)</f>
        <v>0</v>
      </c>
      <c r="AL76">
        <f>IFERROR(VLOOKUP(X76,PointsMap!V2:W4,2,0),0)</f>
        <v>0</v>
      </c>
      <c r="AM76">
        <f>MIN(5,VALUE(V76))</f>
        <v>0</v>
      </c>
      <c r="AN76">
        <f>AB76</f>
        <v>0</v>
      </c>
      <c r="AO76">
        <f>AC76+AD76+AE76+AF76</f>
        <v>0</v>
      </c>
      <c r="AP76">
        <f>AG76+AH76</f>
        <v>0</v>
      </c>
      <c r="AQ76">
        <f>AI76+AJ76</f>
        <v>0</v>
      </c>
      <c r="AR76">
        <f>AK76+AL76+AM76</f>
        <v>0</v>
      </c>
      <c r="AS76">
        <f>AN76*Weights!B3/100+AO76*Weights!B4/100+AP76*Weights!B5/100+AQ76*Weights!B6/100+AR76*Weights!B7/100</f>
        <v>0</v>
      </c>
      <c r="AT76" s="2" t="s">
        <v>371</v>
      </c>
      <c r="AY76" s="2" t="s">
        <v>499</v>
      </c>
      <c r="BB76" s="2" t="s">
        <v>615</v>
      </c>
      <c r="BD76" t="s">
        <v>708</v>
      </c>
    </row>
    <row r="77" spans="1:56">
      <c r="A77" t="s">
        <v>131</v>
      </c>
      <c r="B77" s="2" t="s">
        <v>229</v>
      </c>
      <c r="C77" t="s">
        <v>255</v>
      </c>
      <c r="D77">
        <v>2016</v>
      </c>
      <c r="E77">
        <v>2</v>
      </c>
      <c r="F77" t="s">
        <v>266</v>
      </c>
      <c r="I77" t="s">
        <v>270</v>
      </c>
      <c r="J77" t="s">
        <v>275</v>
      </c>
      <c r="M77" t="s">
        <v>279</v>
      </c>
      <c r="R77" t="s">
        <v>285</v>
      </c>
      <c r="S77" t="s">
        <v>289</v>
      </c>
      <c r="U77" t="s">
        <v>291</v>
      </c>
      <c r="W77" t="s">
        <v>283</v>
      </c>
      <c r="X77" t="s">
        <v>297</v>
      </c>
      <c r="Y77" t="s">
        <v>301</v>
      </c>
      <c r="Z77" t="s">
        <v>304</v>
      </c>
      <c r="AA77" t="s">
        <v>283</v>
      </c>
      <c r="AB77">
        <f>VALUE(R77)*6</f>
        <v>0</v>
      </c>
      <c r="AC77">
        <f>IFERROR(VLOOKUP(K77,PointsMap!D2:E3,2,0),0)</f>
        <v>0</v>
      </c>
      <c r="AD77">
        <f>IFERROR(VLOOKUP(M77,PointsMap!G2:H5,2,0),0)</f>
        <v>0</v>
      </c>
      <c r="AE77">
        <f>IFERROR(VLOOKUP(AA77,PointsMap!M2:N5,2,0),0)</f>
        <v>0</v>
      </c>
      <c r="AF77">
        <f>IFERROR(VLOOKUP(Z77,PointsMap!J2:K5,2,0),0)</f>
        <v>0</v>
      </c>
      <c r="AG77">
        <f>MIN(8,VALUE(T77)*2)</f>
        <v>0</v>
      </c>
      <c r="AH77">
        <f>IFERROR(VLOOKUP(Q77,PointsMap!P2:Q5,2,0),0)</f>
        <v>0</v>
      </c>
      <c r="AI77">
        <f>MIN(8,ROUND(VALUE(G77)*8,0))</f>
        <v>0</v>
      </c>
      <c r="AJ77">
        <f>IFERROR(VLOOKUP(I77,PointsMap!A2:B5,2,0),0)</f>
        <v>0</v>
      </c>
      <c r="AK77">
        <f>IFERROR(VLOOKUP(W77,PointsMap!S2:T4,2,0),0)</f>
        <v>0</v>
      </c>
      <c r="AL77">
        <f>IFERROR(VLOOKUP(X77,PointsMap!V2:W4,2,0),0)</f>
        <v>0</v>
      </c>
      <c r="AM77">
        <f>MIN(5,VALUE(V77))</f>
        <v>0</v>
      </c>
      <c r="AN77">
        <f>AB77</f>
        <v>0</v>
      </c>
      <c r="AO77">
        <f>AC77+AD77+AE77+AF77</f>
        <v>0</v>
      </c>
      <c r="AP77">
        <f>AG77+AH77</f>
        <v>0</v>
      </c>
      <c r="AQ77">
        <f>AI77+AJ77</f>
        <v>0</v>
      </c>
      <c r="AR77">
        <f>AK77+AL77+AM77</f>
        <v>0</v>
      </c>
      <c r="AS77">
        <f>AN77*Weights!B3/100+AO77*Weights!B4/100+AP77*Weights!B5/100+AQ77*Weights!B6/100+AR77*Weights!B7/100</f>
        <v>0</v>
      </c>
      <c r="AT77" s="2" t="s">
        <v>372</v>
      </c>
      <c r="AY77" s="2" t="s">
        <v>500</v>
      </c>
      <c r="BB77" s="2" t="s">
        <v>616</v>
      </c>
      <c r="BD77" t="s">
        <v>709</v>
      </c>
    </row>
    <row r="78" spans="1:56">
      <c r="A78" t="s">
        <v>132</v>
      </c>
      <c r="B78" s="2" t="s">
        <v>230</v>
      </c>
      <c r="C78" t="s">
        <v>255</v>
      </c>
      <c r="D78">
        <v>2009</v>
      </c>
      <c r="E78">
        <v>2</v>
      </c>
      <c r="F78" t="s">
        <v>266</v>
      </c>
      <c r="I78" t="s">
        <v>272</v>
      </c>
      <c r="J78" t="s">
        <v>275</v>
      </c>
      <c r="M78" t="s">
        <v>279</v>
      </c>
      <c r="R78" t="s">
        <v>285</v>
      </c>
      <c r="S78" t="s">
        <v>290</v>
      </c>
      <c r="U78" t="s">
        <v>294</v>
      </c>
      <c r="W78" t="s">
        <v>283</v>
      </c>
      <c r="X78" t="s">
        <v>297</v>
      </c>
      <c r="Y78" t="s">
        <v>301</v>
      </c>
      <c r="Z78" t="s">
        <v>304</v>
      </c>
      <c r="AA78" t="s">
        <v>283</v>
      </c>
      <c r="AB78">
        <f>VALUE(R78)*6</f>
        <v>0</v>
      </c>
      <c r="AC78">
        <f>IFERROR(VLOOKUP(K78,PointsMap!D2:E3,2,0),0)</f>
        <v>0</v>
      </c>
      <c r="AD78">
        <f>IFERROR(VLOOKUP(M78,PointsMap!G2:H5,2,0),0)</f>
        <v>0</v>
      </c>
      <c r="AE78">
        <f>IFERROR(VLOOKUP(AA78,PointsMap!M2:N5,2,0),0)</f>
        <v>0</v>
      </c>
      <c r="AF78">
        <f>IFERROR(VLOOKUP(Z78,PointsMap!J2:K5,2,0),0)</f>
        <v>0</v>
      </c>
      <c r="AG78">
        <f>MIN(8,VALUE(T78)*2)</f>
        <v>0</v>
      </c>
      <c r="AH78">
        <f>IFERROR(VLOOKUP(Q78,PointsMap!P2:Q5,2,0),0)</f>
        <v>0</v>
      </c>
      <c r="AI78">
        <f>MIN(8,ROUND(VALUE(G78)*8,0))</f>
        <v>0</v>
      </c>
      <c r="AJ78">
        <f>IFERROR(VLOOKUP(I78,PointsMap!A2:B5,2,0),0)</f>
        <v>0</v>
      </c>
      <c r="AK78">
        <f>IFERROR(VLOOKUP(W78,PointsMap!S2:T4,2,0),0)</f>
        <v>0</v>
      </c>
      <c r="AL78">
        <f>IFERROR(VLOOKUP(X78,PointsMap!V2:W4,2,0),0)</f>
        <v>0</v>
      </c>
      <c r="AM78">
        <f>MIN(5,VALUE(V78))</f>
        <v>0</v>
      </c>
      <c r="AN78">
        <f>AB78</f>
        <v>0</v>
      </c>
      <c r="AO78">
        <f>AC78+AD78+AE78+AF78</f>
        <v>0</v>
      </c>
      <c r="AP78">
        <f>AG78+AH78</f>
        <v>0</v>
      </c>
      <c r="AQ78">
        <f>AI78+AJ78</f>
        <v>0</v>
      </c>
      <c r="AR78">
        <f>AK78+AL78+AM78</f>
        <v>0</v>
      </c>
      <c r="AS78">
        <f>AN78*Weights!B3/100+AO78*Weights!B4/100+AP78*Weights!B5/100+AQ78*Weights!B6/100+AR78*Weights!B7/100</f>
        <v>0</v>
      </c>
      <c r="AT78" s="2" t="s">
        <v>373</v>
      </c>
      <c r="AY78" s="2" t="s">
        <v>501</v>
      </c>
      <c r="BB78" s="2" t="s">
        <v>617</v>
      </c>
      <c r="BD78" t="s">
        <v>710</v>
      </c>
    </row>
    <row r="79" spans="1:56">
      <c r="A79" t="s">
        <v>133</v>
      </c>
      <c r="B79" s="2" t="s">
        <v>231</v>
      </c>
      <c r="C79" t="s">
        <v>255</v>
      </c>
      <c r="D79">
        <v>2004</v>
      </c>
      <c r="E79">
        <v>4</v>
      </c>
      <c r="F79" t="s">
        <v>265</v>
      </c>
      <c r="I79" t="s">
        <v>270</v>
      </c>
      <c r="J79" t="s">
        <v>275</v>
      </c>
      <c r="M79" t="s">
        <v>279</v>
      </c>
      <c r="R79" t="s">
        <v>284</v>
      </c>
      <c r="S79" t="s">
        <v>287</v>
      </c>
      <c r="U79" t="s">
        <v>291</v>
      </c>
      <c r="W79" t="s">
        <v>295</v>
      </c>
      <c r="X79" t="s">
        <v>297</v>
      </c>
      <c r="Y79" t="s">
        <v>299</v>
      </c>
      <c r="Z79" t="s">
        <v>302</v>
      </c>
      <c r="AA79" t="s">
        <v>307</v>
      </c>
      <c r="AB79">
        <f>VALUE(R79)*6</f>
        <v>0</v>
      </c>
      <c r="AC79">
        <f>IFERROR(VLOOKUP(K79,PointsMap!D2:E3,2,0),0)</f>
        <v>0</v>
      </c>
      <c r="AD79">
        <f>IFERROR(VLOOKUP(M79,PointsMap!G2:H5,2,0),0)</f>
        <v>0</v>
      </c>
      <c r="AE79">
        <f>IFERROR(VLOOKUP(AA79,PointsMap!M2:N5,2,0),0)</f>
        <v>0</v>
      </c>
      <c r="AF79">
        <f>IFERROR(VLOOKUP(Z79,PointsMap!J2:K5,2,0),0)</f>
        <v>0</v>
      </c>
      <c r="AG79">
        <f>MIN(8,VALUE(T79)*2)</f>
        <v>0</v>
      </c>
      <c r="AH79">
        <f>IFERROR(VLOOKUP(Q79,PointsMap!P2:Q5,2,0),0)</f>
        <v>0</v>
      </c>
      <c r="AI79">
        <f>MIN(8,ROUND(VALUE(G79)*8,0))</f>
        <v>0</v>
      </c>
      <c r="AJ79">
        <f>IFERROR(VLOOKUP(I79,PointsMap!A2:B5,2,0),0)</f>
        <v>0</v>
      </c>
      <c r="AK79">
        <f>IFERROR(VLOOKUP(W79,PointsMap!S2:T4,2,0),0)</f>
        <v>0</v>
      </c>
      <c r="AL79">
        <f>IFERROR(VLOOKUP(X79,PointsMap!V2:W4,2,0),0)</f>
        <v>0</v>
      </c>
      <c r="AM79">
        <f>MIN(5,VALUE(V79))</f>
        <v>0</v>
      </c>
      <c r="AN79">
        <f>AB79</f>
        <v>0</v>
      </c>
      <c r="AO79">
        <f>AC79+AD79+AE79+AF79</f>
        <v>0</v>
      </c>
      <c r="AP79">
        <f>AG79+AH79</f>
        <v>0</v>
      </c>
      <c r="AQ79">
        <f>AI79+AJ79</f>
        <v>0</v>
      </c>
      <c r="AR79">
        <f>AK79+AL79+AM79</f>
        <v>0</v>
      </c>
      <c r="AS79">
        <f>AN79*Weights!B3/100+AO79*Weights!B4/100+AP79*Weights!B5/100+AQ79*Weights!B6/100+AR79*Weights!B7/100</f>
        <v>0</v>
      </c>
      <c r="AT79" s="2" t="s">
        <v>374</v>
      </c>
      <c r="AY79" s="2" t="s">
        <v>502</v>
      </c>
      <c r="BB79" s="2" t="s">
        <v>618</v>
      </c>
      <c r="BD79" t="s">
        <v>711</v>
      </c>
    </row>
    <row r="80" spans="1:56">
      <c r="A80" t="s">
        <v>134</v>
      </c>
      <c r="B80" s="2" t="s">
        <v>232</v>
      </c>
      <c r="C80" t="s">
        <v>255</v>
      </c>
      <c r="D80">
        <v>2009</v>
      </c>
      <c r="E80">
        <v>4</v>
      </c>
      <c r="F80" t="s">
        <v>266</v>
      </c>
      <c r="I80" t="s">
        <v>270</v>
      </c>
      <c r="J80" t="s">
        <v>275</v>
      </c>
      <c r="M80" t="s">
        <v>279</v>
      </c>
      <c r="R80" t="s">
        <v>285</v>
      </c>
      <c r="S80" t="s">
        <v>290</v>
      </c>
      <c r="U80" t="s">
        <v>294</v>
      </c>
      <c r="W80" t="s">
        <v>283</v>
      </c>
      <c r="X80" t="s">
        <v>298</v>
      </c>
      <c r="Y80" t="s">
        <v>301</v>
      </c>
      <c r="Z80" t="s">
        <v>304</v>
      </c>
      <c r="AA80" t="s">
        <v>283</v>
      </c>
      <c r="AB80">
        <f>VALUE(R80)*6</f>
        <v>0</v>
      </c>
      <c r="AC80">
        <f>IFERROR(VLOOKUP(K80,PointsMap!D2:E3,2,0),0)</f>
        <v>0</v>
      </c>
      <c r="AD80">
        <f>IFERROR(VLOOKUP(M80,PointsMap!G2:H5,2,0),0)</f>
        <v>0</v>
      </c>
      <c r="AE80">
        <f>IFERROR(VLOOKUP(AA80,PointsMap!M2:N5,2,0),0)</f>
        <v>0</v>
      </c>
      <c r="AF80">
        <f>IFERROR(VLOOKUP(Z80,PointsMap!J2:K5,2,0),0)</f>
        <v>0</v>
      </c>
      <c r="AG80">
        <f>MIN(8,VALUE(T80)*2)</f>
        <v>0</v>
      </c>
      <c r="AH80">
        <f>IFERROR(VLOOKUP(Q80,PointsMap!P2:Q5,2,0),0)</f>
        <v>0</v>
      </c>
      <c r="AI80">
        <f>MIN(8,ROUND(VALUE(G80)*8,0))</f>
        <v>0</v>
      </c>
      <c r="AJ80">
        <f>IFERROR(VLOOKUP(I80,PointsMap!A2:B5,2,0),0)</f>
        <v>0</v>
      </c>
      <c r="AK80">
        <f>IFERROR(VLOOKUP(W80,PointsMap!S2:T4,2,0),0)</f>
        <v>0</v>
      </c>
      <c r="AL80">
        <f>IFERROR(VLOOKUP(X80,PointsMap!V2:W4,2,0),0)</f>
        <v>0</v>
      </c>
      <c r="AM80">
        <f>MIN(5,VALUE(V80))</f>
        <v>0</v>
      </c>
      <c r="AN80">
        <f>AB80</f>
        <v>0</v>
      </c>
      <c r="AO80">
        <f>AC80+AD80+AE80+AF80</f>
        <v>0</v>
      </c>
      <c r="AP80">
        <f>AG80+AH80</f>
        <v>0</v>
      </c>
      <c r="AQ80">
        <f>AI80+AJ80</f>
        <v>0</v>
      </c>
      <c r="AR80">
        <f>AK80+AL80+AM80</f>
        <v>0</v>
      </c>
      <c r="AS80">
        <f>AN80*Weights!B3/100+AO80*Weights!B4/100+AP80*Weights!B5/100+AQ80*Weights!B6/100+AR80*Weights!B7/100</f>
        <v>0</v>
      </c>
      <c r="AT80" s="2" t="s">
        <v>375</v>
      </c>
      <c r="AY80" s="2" t="s">
        <v>503</v>
      </c>
      <c r="BB80" s="2" t="s">
        <v>619</v>
      </c>
      <c r="BD80" t="s">
        <v>712</v>
      </c>
    </row>
    <row r="81" spans="1:56">
      <c r="A81" t="s">
        <v>135</v>
      </c>
      <c r="B81" s="2" t="s">
        <v>233</v>
      </c>
      <c r="C81" t="s">
        <v>255</v>
      </c>
      <c r="D81">
        <v>1998</v>
      </c>
      <c r="E81">
        <v>4</v>
      </c>
      <c r="F81" t="s">
        <v>266</v>
      </c>
      <c r="I81" t="s">
        <v>270</v>
      </c>
      <c r="J81" t="s">
        <v>275</v>
      </c>
      <c r="M81" t="s">
        <v>279</v>
      </c>
      <c r="R81" t="s">
        <v>285</v>
      </c>
      <c r="S81" t="s">
        <v>290</v>
      </c>
      <c r="U81" t="s">
        <v>294</v>
      </c>
      <c r="W81" t="s">
        <v>283</v>
      </c>
      <c r="X81" t="s">
        <v>298</v>
      </c>
      <c r="Y81" t="s">
        <v>301</v>
      </c>
      <c r="Z81" t="s">
        <v>304</v>
      </c>
      <c r="AA81" t="s">
        <v>283</v>
      </c>
      <c r="AB81">
        <f>VALUE(R81)*6</f>
        <v>0</v>
      </c>
      <c r="AC81">
        <f>IFERROR(VLOOKUP(K81,PointsMap!D2:E3,2,0),0)</f>
        <v>0</v>
      </c>
      <c r="AD81">
        <f>IFERROR(VLOOKUP(M81,PointsMap!G2:H5,2,0),0)</f>
        <v>0</v>
      </c>
      <c r="AE81">
        <f>IFERROR(VLOOKUP(AA81,PointsMap!M2:N5,2,0),0)</f>
        <v>0</v>
      </c>
      <c r="AF81">
        <f>IFERROR(VLOOKUP(Z81,PointsMap!J2:K5,2,0),0)</f>
        <v>0</v>
      </c>
      <c r="AG81">
        <f>MIN(8,VALUE(T81)*2)</f>
        <v>0</v>
      </c>
      <c r="AH81">
        <f>IFERROR(VLOOKUP(Q81,PointsMap!P2:Q5,2,0),0)</f>
        <v>0</v>
      </c>
      <c r="AI81">
        <f>MIN(8,ROUND(VALUE(G81)*8,0))</f>
        <v>0</v>
      </c>
      <c r="AJ81">
        <f>IFERROR(VLOOKUP(I81,PointsMap!A2:B5,2,0),0)</f>
        <v>0</v>
      </c>
      <c r="AK81">
        <f>IFERROR(VLOOKUP(W81,PointsMap!S2:T4,2,0),0)</f>
        <v>0</v>
      </c>
      <c r="AL81">
        <f>IFERROR(VLOOKUP(X81,PointsMap!V2:W4,2,0),0)</f>
        <v>0</v>
      </c>
      <c r="AM81">
        <f>MIN(5,VALUE(V81))</f>
        <v>0</v>
      </c>
      <c r="AN81">
        <f>AB81</f>
        <v>0</v>
      </c>
      <c r="AO81">
        <f>AC81+AD81+AE81+AF81</f>
        <v>0</v>
      </c>
      <c r="AP81">
        <f>AG81+AH81</f>
        <v>0</v>
      </c>
      <c r="AQ81">
        <f>AI81+AJ81</f>
        <v>0</v>
      </c>
      <c r="AR81">
        <f>AK81+AL81+AM81</f>
        <v>0</v>
      </c>
      <c r="AS81">
        <f>AN81*Weights!B3/100+AO81*Weights!B4/100+AP81*Weights!B5/100+AQ81*Weights!B6/100+AR81*Weights!B7/100</f>
        <v>0</v>
      </c>
      <c r="AT81" s="2" t="s">
        <v>376</v>
      </c>
      <c r="AY81" s="2" t="s">
        <v>504</v>
      </c>
      <c r="BB81" s="2" t="s">
        <v>620</v>
      </c>
      <c r="BD81" t="s">
        <v>713</v>
      </c>
    </row>
    <row r="82" spans="1:56">
      <c r="A82" t="s">
        <v>136</v>
      </c>
      <c r="B82" s="2" t="s">
        <v>234</v>
      </c>
      <c r="C82" t="s">
        <v>255</v>
      </c>
      <c r="D82">
        <v>2008</v>
      </c>
      <c r="E82">
        <v>3</v>
      </c>
      <c r="F82" t="s">
        <v>266</v>
      </c>
      <c r="I82" t="s">
        <v>270</v>
      </c>
      <c r="J82" t="s">
        <v>275</v>
      </c>
      <c r="M82" t="s">
        <v>279</v>
      </c>
      <c r="R82" t="s">
        <v>285</v>
      </c>
      <c r="S82" t="s">
        <v>290</v>
      </c>
      <c r="U82" t="s">
        <v>294</v>
      </c>
      <c r="W82" t="s">
        <v>283</v>
      </c>
      <c r="X82" t="s">
        <v>297</v>
      </c>
      <c r="Y82" t="s">
        <v>301</v>
      </c>
      <c r="Z82" t="s">
        <v>304</v>
      </c>
      <c r="AA82" t="s">
        <v>283</v>
      </c>
      <c r="AB82">
        <f>VALUE(R82)*6</f>
        <v>0</v>
      </c>
      <c r="AC82">
        <f>IFERROR(VLOOKUP(K82,PointsMap!D2:E3,2,0),0)</f>
        <v>0</v>
      </c>
      <c r="AD82">
        <f>IFERROR(VLOOKUP(M82,PointsMap!G2:H5,2,0),0)</f>
        <v>0</v>
      </c>
      <c r="AE82">
        <f>IFERROR(VLOOKUP(AA82,PointsMap!M2:N5,2,0),0)</f>
        <v>0</v>
      </c>
      <c r="AF82">
        <f>IFERROR(VLOOKUP(Z82,PointsMap!J2:K5,2,0),0)</f>
        <v>0</v>
      </c>
      <c r="AG82">
        <f>MIN(8,VALUE(T82)*2)</f>
        <v>0</v>
      </c>
      <c r="AH82">
        <f>IFERROR(VLOOKUP(Q82,PointsMap!P2:Q5,2,0),0)</f>
        <v>0</v>
      </c>
      <c r="AI82">
        <f>MIN(8,ROUND(VALUE(G82)*8,0))</f>
        <v>0</v>
      </c>
      <c r="AJ82">
        <f>IFERROR(VLOOKUP(I82,PointsMap!A2:B5,2,0),0)</f>
        <v>0</v>
      </c>
      <c r="AK82">
        <f>IFERROR(VLOOKUP(W82,PointsMap!S2:T4,2,0),0)</f>
        <v>0</v>
      </c>
      <c r="AL82">
        <f>IFERROR(VLOOKUP(X82,PointsMap!V2:W4,2,0),0)</f>
        <v>0</v>
      </c>
      <c r="AM82">
        <f>MIN(5,VALUE(V82))</f>
        <v>0</v>
      </c>
      <c r="AN82">
        <f>AB82</f>
        <v>0</v>
      </c>
      <c r="AO82">
        <f>AC82+AD82+AE82+AF82</f>
        <v>0</v>
      </c>
      <c r="AP82">
        <f>AG82+AH82</f>
        <v>0</v>
      </c>
      <c r="AQ82">
        <f>AI82+AJ82</f>
        <v>0</v>
      </c>
      <c r="AR82">
        <f>AK82+AL82+AM82</f>
        <v>0</v>
      </c>
      <c r="AS82">
        <f>AN82*Weights!B3/100+AO82*Weights!B4/100+AP82*Weights!B5/100+AQ82*Weights!B6/100+AR82*Weights!B7/100</f>
        <v>0</v>
      </c>
      <c r="AT82" s="2" t="s">
        <v>377</v>
      </c>
      <c r="AY82" s="2" t="s">
        <v>505</v>
      </c>
      <c r="BB82" s="2" t="s">
        <v>621</v>
      </c>
      <c r="BD82" t="s">
        <v>714</v>
      </c>
    </row>
    <row r="83" spans="1:56">
      <c r="A83" t="s">
        <v>137</v>
      </c>
      <c r="B83" s="2" t="s">
        <v>235</v>
      </c>
      <c r="C83" t="s">
        <v>260</v>
      </c>
      <c r="D83">
        <v>1965</v>
      </c>
      <c r="E83">
        <v>5</v>
      </c>
      <c r="F83" t="s">
        <v>266</v>
      </c>
      <c r="I83" t="s">
        <v>270</v>
      </c>
      <c r="J83" t="s">
        <v>275</v>
      </c>
      <c r="M83" t="s">
        <v>279</v>
      </c>
      <c r="R83" t="s">
        <v>285</v>
      </c>
      <c r="S83" t="s">
        <v>289</v>
      </c>
      <c r="U83" t="s">
        <v>291</v>
      </c>
      <c r="W83" t="s">
        <v>283</v>
      </c>
      <c r="X83" t="s">
        <v>298</v>
      </c>
      <c r="Y83" t="s">
        <v>301</v>
      </c>
      <c r="Z83" t="s">
        <v>304</v>
      </c>
      <c r="AA83" t="s">
        <v>283</v>
      </c>
      <c r="AB83">
        <f>VALUE(R83)*6</f>
        <v>0</v>
      </c>
      <c r="AC83">
        <f>IFERROR(VLOOKUP(K83,PointsMap!D2:E3,2,0),0)</f>
        <v>0</v>
      </c>
      <c r="AD83">
        <f>IFERROR(VLOOKUP(M83,PointsMap!G2:H5,2,0),0)</f>
        <v>0</v>
      </c>
      <c r="AE83">
        <f>IFERROR(VLOOKUP(AA83,PointsMap!M2:N5,2,0),0)</f>
        <v>0</v>
      </c>
      <c r="AF83">
        <f>IFERROR(VLOOKUP(Z83,PointsMap!J2:K5,2,0),0)</f>
        <v>0</v>
      </c>
      <c r="AG83">
        <f>MIN(8,VALUE(T83)*2)</f>
        <v>0</v>
      </c>
      <c r="AH83">
        <f>IFERROR(VLOOKUP(Q83,PointsMap!P2:Q5,2,0),0)</f>
        <v>0</v>
      </c>
      <c r="AI83">
        <f>MIN(8,ROUND(VALUE(G83)*8,0))</f>
        <v>0</v>
      </c>
      <c r="AJ83">
        <f>IFERROR(VLOOKUP(I83,PointsMap!A2:B5,2,0),0)</f>
        <v>0</v>
      </c>
      <c r="AK83">
        <f>IFERROR(VLOOKUP(W83,PointsMap!S2:T4,2,0),0)</f>
        <v>0</v>
      </c>
      <c r="AL83">
        <f>IFERROR(VLOOKUP(X83,PointsMap!V2:W4,2,0),0)</f>
        <v>0</v>
      </c>
      <c r="AM83">
        <f>MIN(5,VALUE(V83))</f>
        <v>0</v>
      </c>
      <c r="AN83">
        <f>AB83</f>
        <v>0</v>
      </c>
      <c r="AO83">
        <f>AC83+AD83+AE83+AF83</f>
        <v>0</v>
      </c>
      <c r="AP83">
        <f>AG83+AH83</f>
        <v>0</v>
      </c>
      <c r="AQ83">
        <f>AI83+AJ83</f>
        <v>0</v>
      </c>
      <c r="AR83">
        <f>AK83+AL83+AM83</f>
        <v>0</v>
      </c>
      <c r="AS83">
        <f>AN83*Weights!B3/100+AO83*Weights!B4/100+AP83*Weights!B5/100+AQ83*Weights!B6/100+AR83*Weights!B7/100</f>
        <v>0</v>
      </c>
      <c r="AT83" s="2" t="s">
        <v>378</v>
      </c>
      <c r="AY83" s="2" t="s">
        <v>506</v>
      </c>
      <c r="BB83" s="2" t="s">
        <v>622</v>
      </c>
      <c r="BD83" t="s">
        <v>715</v>
      </c>
    </row>
    <row r="84" spans="1:56">
      <c r="A84" t="s">
        <v>138</v>
      </c>
      <c r="B84" s="2" t="s">
        <v>236</v>
      </c>
      <c r="C84" t="s">
        <v>260</v>
      </c>
      <c r="D84">
        <v>1941</v>
      </c>
      <c r="E84">
        <v>26</v>
      </c>
      <c r="F84" t="s">
        <v>264</v>
      </c>
      <c r="I84" t="s">
        <v>270</v>
      </c>
      <c r="J84" t="s">
        <v>275</v>
      </c>
      <c r="M84" t="s">
        <v>279</v>
      </c>
      <c r="R84" t="s">
        <v>285</v>
      </c>
      <c r="S84" t="s">
        <v>290</v>
      </c>
      <c r="U84" t="s">
        <v>294</v>
      </c>
      <c r="W84" t="s">
        <v>283</v>
      </c>
      <c r="X84" t="s">
        <v>297</v>
      </c>
      <c r="Y84" t="s">
        <v>301</v>
      </c>
      <c r="Z84" t="s">
        <v>304</v>
      </c>
      <c r="AA84" t="s">
        <v>283</v>
      </c>
      <c r="AB84">
        <f>VALUE(R84)*6</f>
        <v>0</v>
      </c>
      <c r="AC84">
        <f>IFERROR(VLOOKUP(K84,PointsMap!D2:E3,2,0),0)</f>
        <v>0</v>
      </c>
      <c r="AD84">
        <f>IFERROR(VLOOKUP(M84,PointsMap!G2:H5,2,0),0)</f>
        <v>0</v>
      </c>
      <c r="AE84">
        <f>IFERROR(VLOOKUP(AA84,PointsMap!M2:N5,2,0),0)</f>
        <v>0</v>
      </c>
      <c r="AF84">
        <f>IFERROR(VLOOKUP(Z84,PointsMap!J2:K5,2,0),0)</f>
        <v>0</v>
      </c>
      <c r="AG84">
        <f>MIN(8,VALUE(T84)*2)</f>
        <v>0</v>
      </c>
      <c r="AH84">
        <f>IFERROR(VLOOKUP(Q84,PointsMap!P2:Q5,2,0),0)</f>
        <v>0</v>
      </c>
      <c r="AI84">
        <f>MIN(8,ROUND(VALUE(G84)*8,0))</f>
        <v>0</v>
      </c>
      <c r="AJ84">
        <f>IFERROR(VLOOKUP(I84,PointsMap!A2:B5,2,0),0)</f>
        <v>0</v>
      </c>
      <c r="AK84">
        <f>IFERROR(VLOOKUP(W84,PointsMap!S2:T4,2,0),0)</f>
        <v>0</v>
      </c>
      <c r="AL84">
        <f>IFERROR(VLOOKUP(X84,PointsMap!V2:W4,2,0),0)</f>
        <v>0</v>
      </c>
      <c r="AM84">
        <f>MIN(5,VALUE(V84))</f>
        <v>0</v>
      </c>
      <c r="AN84">
        <f>AB84</f>
        <v>0</v>
      </c>
      <c r="AO84">
        <f>AC84+AD84+AE84+AF84</f>
        <v>0</v>
      </c>
      <c r="AP84">
        <f>AG84+AH84</f>
        <v>0</v>
      </c>
      <c r="AQ84">
        <f>AI84+AJ84</f>
        <v>0</v>
      </c>
      <c r="AR84">
        <f>AK84+AL84+AM84</f>
        <v>0</v>
      </c>
      <c r="AS84">
        <f>AN84*Weights!B3/100+AO84*Weights!B4/100+AP84*Weights!B5/100+AQ84*Weights!B6/100+AR84*Weights!B7/100</f>
        <v>0</v>
      </c>
      <c r="AT84" s="2" t="s">
        <v>379</v>
      </c>
      <c r="AY84" s="2" t="s">
        <v>507</v>
      </c>
      <c r="BB84" s="2" t="s">
        <v>623</v>
      </c>
      <c r="BD84" t="s">
        <v>716</v>
      </c>
    </row>
    <row r="85" spans="1:56">
      <c r="A85" t="s">
        <v>139</v>
      </c>
      <c r="B85" s="2" t="s">
        <v>237</v>
      </c>
      <c r="C85" t="s">
        <v>255</v>
      </c>
      <c r="D85">
        <v>2001</v>
      </c>
      <c r="E85">
        <v>6</v>
      </c>
      <c r="F85" t="s">
        <v>266</v>
      </c>
      <c r="I85" t="s">
        <v>270</v>
      </c>
      <c r="J85" t="s">
        <v>275</v>
      </c>
      <c r="M85" t="s">
        <v>279</v>
      </c>
      <c r="R85" t="s">
        <v>285</v>
      </c>
      <c r="S85" t="s">
        <v>290</v>
      </c>
      <c r="U85" t="s">
        <v>294</v>
      </c>
      <c r="W85" t="s">
        <v>283</v>
      </c>
      <c r="X85" t="s">
        <v>298</v>
      </c>
      <c r="Y85" t="s">
        <v>301</v>
      </c>
      <c r="Z85" t="s">
        <v>304</v>
      </c>
      <c r="AA85" t="s">
        <v>283</v>
      </c>
      <c r="AB85">
        <f>VALUE(R85)*6</f>
        <v>0</v>
      </c>
      <c r="AC85">
        <f>IFERROR(VLOOKUP(K85,PointsMap!D2:E3,2,0),0)</f>
        <v>0</v>
      </c>
      <c r="AD85">
        <f>IFERROR(VLOOKUP(M85,PointsMap!G2:H5,2,0),0)</f>
        <v>0</v>
      </c>
      <c r="AE85">
        <f>IFERROR(VLOOKUP(AA85,PointsMap!M2:N5,2,0),0)</f>
        <v>0</v>
      </c>
      <c r="AF85">
        <f>IFERROR(VLOOKUP(Z85,PointsMap!J2:K5,2,0),0)</f>
        <v>0</v>
      </c>
      <c r="AG85">
        <f>MIN(8,VALUE(T85)*2)</f>
        <v>0</v>
      </c>
      <c r="AH85">
        <f>IFERROR(VLOOKUP(Q85,PointsMap!P2:Q5,2,0),0)</f>
        <v>0</v>
      </c>
      <c r="AI85">
        <f>MIN(8,ROUND(VALUE(G85)*8,0))</f>
        <v>0</v>
      </c>
      <c r="AJ85">
        <f>IFERROR(VLOOKUP(I85,PointsMap!A2:B5,2,0),0)</f>
        <v>0</v>
      </c>
      <c r="AK85">
        <f>IFERROR(VLOOKUP(W85,PointsMap!S2:T4,2,0),0)</f>
        <v>0</v>
      </c>
      <c r="AL85">
        <f>IFERROR(VLOOKUP(X85,PointsMap!V2:W4,2,0),0)</f>
        <v>0</v>
      </c>
      <c r="AM85">
        <f>MIN(5,VALUE(V85))</f>
        <v>0</v>
      </c>
      <c r="AN85">
        <f>AB85</f>
        <v>0</v>
      </c>
      <c r="AO85">
        <f>AC85+AD85+AE85+AF85</f>
        <v>0</v>
      </c>
      <c r="AP85">
        <f>AG85+AH85</f>
        <v>0</v>
      </c>
      <c r="AQ85">
        <f>AI85+AJ85</f>
        <v>0</v>
      </c>
      <c r="AR85">
        <f>AK85+AL85+AM85</f>
        <v>0</v>
      </c>
      <c r="AS85">
        <f>AN85*Weights!B3/100+AO85*Weights!B4/100+AP85*Weights!B5/100+AQ85*Weights!B6/100+AR85*Weights!B7/100</f>
        <v>0</v>
      </c>
      <c r="AT85" s="2" t="s">
        <v>380</v>
      </c>
      <c r="AY85" s="2" t="s">
        <v>508</v>
      </c>
      <c r="BB85" s="2" t="s">
        <v>624</v>
      </c>
      <c r="BD85" t="s">
        <v>717</v>
      </c>
    </row>
    <row r="86" spans="1:56">
      <c r="A86" t="s">
        <v>140</v>
      </c>
      <c r="B86" s="2" t="s">
        <v>238</v>
      </c>
      <c r="C86" t="s">
        <v>254</v>
      </c>
      <c r="D86">
        <v>2018</v>
      </c>
      <c r="E86">
        <v>17</v>
      </c>
      <c r="F86" t="s">
        <v>264</v>
      </c>
      <c r="I86" t="s">
        <v>270</v>
      </c>
      <c r="J86" t="s">
        <v>275</v>
      </c>
      <c r="M86" t="s">
        <v>279</v>
      </c>
      <c r="R86" t="s">
        <v>285</v>
      </c>
      <c r="S86" t="s">
        <v>289</v>
      </c>
      <c r="U86" t="s">
        <v>291</v>
      </c>
      <c r="W86" t="s">
        <v>283</v>
      </c>
      <c r="X86" t="s">
        <v>298</v>
      </c>
      <c r="Y86" t="s">
        <v>301</v>
      </c>
      <c r="Z86" t="s">
        <v>304</v>
      </c>
      <c r="AA86" t="s">
        <v>283</v>
      </c>
      <c r="AB86">
        <f>VALUE(R86)*6</f>
        <v>0</v>
      </c>
      <c r="AC86">
        <f>IFERROR(VLOOKUP(K86,PointsMap!D2:E3,2,0),0)</f>
        <v>0</v>
      </c>
      <c r="AD86">
        <f>IFERROR(VLOOKUP(M86,PointsMap!G2:H5,2,0),0)</f>
        <v>0</v>
      </c>
      <c r="AE86">
        <f>IFERROR(VLOOKUP(AA86,PointsMap!M2:N5,2,0),0)</f>
        <v>0</v>
      </c>
      <c r="AF86">
        <f>IFERROR(VLOOKUP(Z86,PointsMap!J2:K5,2,0),0)</f>
        <v>0</v>
      </c>
      <c r="AG86">
        <f>MIN(8,VALUE(T86)*2)</f>
        <v>0</v>
      </c>
      <c r="AH86">
        <f>IFERROR(VLOOKUP(Q86,PointsMap!P2:Q5,2,0),0)</f>
        <v>0</v>
      </c>
      <c r="AI86">
        <f>MIN(8,ROUND(VALUE(G86)*8,0))</f>
        <v>0</v>
      </c>
      <c r="AJ86">
        <f>IFERROR(VLOOKUP(I86,PointsMap!A2:B5,2,0),0)</f>
        <v>0</v>
      </c>
      <c r="AK86">
        <f>IFERROR(VLOOKUP(W86,PointsMap!S2:T4,2,0),0)</f>
        <v>0</v>
      </c>
      <c r="AL86">
        <f>IFERROR(VLOOKUP(X86,PointsMap!V2:W4,2,0),0)</f>
        <v>0</v>
      </c>
      <c r="AM86">
        <f>MIN(5,VALUE(V86))</f>
        <v>0</v>
      </c>
      <c r="AN86">
        <f>AB86</f>
        <v>0</v>
      </c>
      <c r="AO86">
        <f>AC86+AD86+AE86+AF86</f>
        <v>0</v>
      </c>
      <c r="AP86">
        <f>AG86+AH86</f>
        <v>0</v>
      </c>
      <c r="AQ86">
        <f>AI86+AJ86</f>
        <v>0</v>
      </c>
      <c r="AR86">
        <f>AK86+AL86+AM86</f>
        <v>0</v>
      </c>
      <c r="AS86">
        <f>AN86*Weights!B3/100+AO86*Weights!B4/100+AP86*Weights!B5/100+AQ86*Weights!B6/100+AR86*Weights!B7/100</f>
        <v>0</v>
      </c>
      <c r="AT86" s="2" t="s">
        <v>381</v>
      </c>
      <c r="AY86" s="2" t="s">
        <v>509</v>
      </c>
      <c r="BB86" s="2" t="s">
        <v>625</v>
      </c>
      <c r="BD86" t="s">
        <v>718</v>
      </c>
    </row>
    <row r="87" spans="1:56">
      <c r="A87" t="s">
        <v>141</v>
      </c>
      <c r="B87" s="2" t="s">
        <v>239</v>
      </c>
      <c r="C87" t="s">
        <v>255</v>
      </c>
      <c r="D87">
        <v>2015</v>
      </c>
      <c r="E87">
        <v>6</v>
      </c>
      <c r="F87" t="s">
        <v>266</v>
      </c>
      <c r="I87" t="s">
        <v>270</v>
      </c>
      <c r="J87" t="s">
        <v>275</v>
      </c>
      <c r="M87" t="s">
        <v>279</v>
      </c>
      <c r="R87" t="s">
        <v>285</v>
      </c>
      <c r="S87" t="s">
        <v>290</v>
      </c>
      <c r="U87" t="s">
        <v>294</v>
      </c>
      <c r="W87" t="s">
        <v>283</v>
      </c>
      <c r="X87" t="s">
        <v>297</v>
      </c>
      <c r="Y87" t="s">
        <v>301</v>
      </c>
      <c r="Z87" t="s">
        <v>304</v>
      </c>
      <c r="AA87" t="s">
        <v>283</v>
      </c>
      <c r="AB87">
        <f>VALUE(R87)*6</f>
        <v>0</v>
      </c>
      <c r="AC87">
        <f>IFERROR(VLOOKUP(K87,PointsMap!D2:E3,2,0),0)</f>
        <v>0</v>
      </c>
      <c r="AD87">
        <f>IFERROR(VLOOKUP(M87,PointsMap!G2:H5,2,0),0)</f>
        <v>0</v>
      </c>
      <c r="AE87">
        <f>IFERROR(VLOOKUP(AA87,PointsMap!M2:N5,2,0),0)</f>
        <v>0</v>
      </c>
      <c r="AF87">
        <f>IFERROR(VLOOKUP(Z87,PointsMap!J2:K5,2,0),0)</f>
        <v>0</v>
      </c>
      <c r="AG87">
        <f>MIN(8,VALUE(T87)*2)</f>
        <v>0</v>
      </c>
      <c r="AH87">
        <f>IFERROR(VLOOKUP(Q87,PointsMap!P2:Q5,2,0),0)</f>
        <v>0</v>
      </c>
      <c r="AI87">
        <f>MIN(8,ROUND(VALUE(G87)*8,0))</f>
        <v>0</v>
      </c>
      <c r="AJ87">
        <f>IFERROR(VLOOKUP(I87,PointsMap!A2:B5,2,0),0)</f>
        <v>0</v>
      </c>
      <c r="AK87">
        <f>IFERROR(VLOOKUP(W87,PointsMap!S2:T4,2,0),0)</f>
        <v>0</v>
      </c>
      <c r="AL87">
        <f>IFERROR(VLOOKUP(X87,PointsMap!V2:W4,2,0),0)</f>
        <v>0</v>
      </c>
      <c r="AM87">
        <f>MIN(5,VALUE(V87))</f>
        <v>0</v>
      </c>
      <c r="AN87">
        <f>AB87</f>
        <v>0</v>
      </c>
      <c r="AO87">
        <f>AC87+AD87+AE87+AF87</f>
        <v>0</v>
      </c>
      <c r="AP87">
        <f>AG87+AH87</f>
        <v>0</v>
      </c>
      <c r="AQ87">
        <f>AI87+AJ87</f>
        <v>0</v>
      </c>
      <c r="AR87">
        <f>AK87+AL87+AM87</f>
        <v>0</v>
      </c>
      <c r="AS87">
        <f>AN87*Weights!B3/100+AO87*Weights!B4/100+AP87*Weights!B5/100+AQ87*Weights!B6/100+AR87*Weights!B7/100</f>
        <v>0</v>
      </c>
      <c r="AT87" s="2" t="s">
        <v>382</v>
      </c>
      <c r="AY87" s="2" t="s">
        <v>510</v>
      </c>
      <c r="BB87" s="2" t="s">
        <v>626</v>
      </c>
      <c r="BD87" t="s">
        <v>719</v>
      </c>
    </row>
    <row r="88" spans="1:56">
      <c r="A88" t="s">
        <v>142</v>
      </c>
      <c r="B88" s="2" t="s">
        <v>240</v>
      </c>
      <c r="C88" t="s">
        <v>255</v>
      </c>
      <c r="D88">
        <v>2007</v>
      </c>
      <c r="E88">
        <v>1</v>
      </c>
      <c r="F88" t="s">
        <v>266</v>
      </c>
      <c r="I88" t="s">
        <v>271</v>
      </c>
      <c r="J88" t="s">
        <v>275</v>
      </c>
      <c r="M88" t="s">
        <v>279</v>
      </c>
      <c r="R88" t="s">
        <v>285</v>
      </c>
      <c r="S88" t="s">
        <v>290</v>
      </c>
      <c r="U88" t="s">
        <v>294</v>
      </c>
      <c r="W88" t="s">
        <v>283</v>
      </c>
      <c r="X88" t="s">
        <v>298</v>
      </c>
      <c r="Y88" t="s">
        <v>301</v>
      </c>
      <c r="Z88" t="s">
        <v>304</v>
      </c>
      <c r="AA88" t="s">
        <v>283</v>
      </c>
      <c r="AB88">
        <f>VALUE(R88)*6</f>
        <v>0</v>
      </c>
      <c r="AC88">
        <f>IFERROR(VLOOKUP(K88,PointsMap!D2:E3,2,0),0)</f>
        <v>0</v>
      </c>
      <c r="AD88">
        <f>IFERROR(VLOOKUP(M88,PointsMap!G2:H5,2,0),0)</f>
        <v>0</v>
      </c>
      <c r="AE88">
        <f>IFERROR(VLOOKUP(AA88,PointsMap!M2:N5,2,0),0)</f>
        <v>0</v>
      </c>
      <c r="AF88">
        <f>IFERROR(VLOOKUP(Z88,PointsMap!J2:K5,2,0),0)</f>
        <v>0</v>
      </c>
      <c r="AG88">
        <f>MIN(8,VALUE(T88)*2)</f>
        <v>0</v>
      </c>
      <c r="AH88">
        <f>IFERROR(VLOOKUP(Q88,PointsMap!P2:Q5,2,0),0)</f>
        <v>0</v>
      </c>
      <c r="AI88">
        <f>MIN(8,ROUND(VALUE(G88)*8,0))</f>
        <v>0</v>
      </c>
      <c r="AJ88">
        <f>IFERROR(VLOOKUP(I88,PointsMap!A2:B5,2,0),0)</f>
        <v>0</v>
      </c>
      <c r="AK88">
        <f>IFERROR(VLOOKUP(W88,PointsMap!S2:T4,2,0),0)</f>
        <v>0</v>
      </c>
      <c r="AL88">
        <f>IFERROR(VLOOKUP(X88,PointsMap!V2:W4,2,0),0)</f>
        <v>0</v>
      </c>
      <c r="AM88">
        <f>MIN(5,VALUE(V88))</f>
        <v>0</v>
      </c>
      <c r="AN88">
        <f>AB88</f>
        <v>0</v>
      </c>
      <c r="AO88">
        <f>AC88+AD88+AE88+AF88</f>
        <v>0</v>
      </c>
      <c r="AP88">
        <f>AG88+AH88</f>
        <v>0</v>
      </c>
      <c r="AQ88">
        <f>AI88+AJ88</f>
        <v>0</v>
      </c>
      <c r="AR88">
        <f>AK88+AL88+AM88</f>
        <v>0</v>
      </c>
      <c r="AS88">
        <f>AN88*Weights!B3/100+AO88*Weights!B4/100+AP88*Weights!B5/100+AQ88*Weights!B6/100+AR88*Weights!B7/100</f>
        <v>0</v>
      </c>
      <c r="AT88" s="2" t="s">
        <v>383</v>
      </c>
      <c r="AY88" s="2" t="s">
        <v>511</v>
      </c>
      <c r="BB88" s="2" t="s">
        <v>627</v>
      </c>
      <c r="BD88" t="s">
        <v>720</v>
      </c>
    </row>
    <row r="89" spans="1:56">
      <c r="A89" t="s">
        <v>143</v>
      </c>
      <c r="B89" s="2" t="s">
        <v>241</v>
      </c>
      <c r="C89" t="s">
        <v>255</v>
      </c>
      <c r="D89">
        <v>2003</v>
      </c>
      <c r="E89">
        <v>5</v>
      </c>
      <c r="F89" t="s">
        <v>266</v>
      </c>
      <c r="I89" t="s">
        <v>270</v>
      </c>
      <c r="J89" t="s">
        <v>275</v>
      </c>
      <c r="M89" t="s">
        <v>279</v>
      </c>
      <c r="R89" t="s">
        <v>285</v>
      </c>
      <c r="S89" t="s">
        <v>290</v>
      </c>
      <c r="U89" t="s">
        <v>294</v>
      </c>
      <c r="W89" t="s">
        <v>283</v>
      </c>
      <c r="X89" t="s">
        <v>298</v>
      </c>
      <c r="Y89" t="s">
        <v>301</v>
      </c>
      <c r="Z89" t="s">
        <v>304</v>
      </c>
      <c r="AA89" t="s">
        <v>283</v>
      </c>
      <c r="AB89">
        <f>VALUE(R89)*6</f>
        <v>0</v>
      </c>
      <c r="AC89">
        <f>IFERROR(VLOOKUP(K89,PointsMap!D2:E3,2,0),0)</f>
        <v>0</v>
      </c>
      <c r="AD89">
        <f>IFERROR(VLOOKUP(M89,PointsMap!G2:H5,2,0),0)</f>
        <v>0</v>
      </c>
      <c r="AE89">
        <f>IFERROR(VLOOKUP(AA89,PointsMap!M2:N5,2,0),0)</f>
        <v>0</v>
      </c>
      <c r="AF89">
        <f>IFERROR(VLOOKUP(Z89,PointsMap!J2:K5,2,0),0)</f>
        <v>0</v>
      </c>
      <c r="AG89">
        <f>MIN(8,VALUE(T89)*2)</f>
        <v>0</v>
      </c>
      <c r="AH89">
        <f>IFERROR(VLOOKUP(Q89,PointsMap!P2:Q5,2,0),0)</f>
        <v>0</v>
      </c>
      <c r="AI89">
        <f>MIN(8,ROUND(VALUE(G89)*8,0))</f>
        <v>0</v>
      </c>
      <c r="AJ89">
        <f>IFERROR(VLOOKUP(I89,PointsMap!A2:B5,2,0),0)</f>
        <v>0</v>
      </c>
      <c r="AK89">
        <f>IFERROR(VLOOKUP(W89,PointsMap!S2:T4,2,0),0)</f>
        <v>0</v>
      </c>
      <c r="AL89">
        <f>IFERROR(VLOOKUP(X89,PointsMap!V2:W4,2,0),0)</f>
        <v>0</v>
      </c>
      <c r="AM89">
        <f>MIN(5,VALUE(V89))</f>
        <v>0</v>
      </c>
      <c r="AN89">
        <f>AB89</f>
        <v>0</v>
      </c>
      <c r="AO89">
        <f>AC89+AD89+AE89+AF89</f>
        <v>0</v>
      </c>
      <c r="AP89">
        <f>AG89+AH89</f>
        <v>0</v>
      </c>
      <c r="AQ89">
        <f>AI89+AJ89</f>
        <v>0</v>
      </c>
      <c r="AR89">
        <f>AK89+AL89+AM89</f>
        <v>0</v>
      </c>
      <c r="AS89">
        <f>AN89*Weights!B3/100+AO89*Weights!B4/100+AP89*Weights!B5/100+AQ89*Weights!B6/100+AR89*Weights!B7/100</f>
        <v>0</v>
      </c>
      <c r="AT89" s="2" t="s">
        <v>384</v>
      </c>
      <c r="AY89" s="2" t="s">
        <v>512</v>
      </c>
      <c r="BB89" s="2" t="s">
        <v>628</v>
      </c>
      <c r="BD89" t="s">
        <v>721</v>
      </c>
    </row>
    <row r="90" spans="1:56">
      <c r="A90" t="s">
        <v>144</v>
      </c>
      <c r="B90" s="2" t="s">
        <v>242</v>
      </c>
      <c r="C90" t="s">
        <v>255</v>
      </c>
      <c r="D90">
        <v>2006</v>
      </c>
      <c r="E90">
        <v>1</v>
      </c>
      <c r="F90" t="s">
        <v>268</v>
      </c>
      <c r="I90" t="s">
        <v>272</v>
      </c>
      <c r="J90" t="s">
        <v>275</v>
      </c>
      <c r="M90" t="s">
        <v>278</v>
      </c>
      <c r="R90" t="s">
        <v>284</v>
      </c>
      <c r="S90" t="s">
        <v>287</v>
      </c>
      <c r="U90" t="s">
        <v>291</v>
      </c>
      <c r="W90" t="s">
        <v>295</v>
      </c>
      <c r="X90" t="s">
        <v>297</v>
      </c>
      <c r="Y90" t="s">
        <v>299</v>
      </c>
      <c r="Z90" t="s">
        <v>302</v>
      </c>
      <c r="AA90" t="s">
        <v>307</v>
      </c>
      <c r="AB90">
        <f>VALUE(R90)*6</f>
        <v>0</v>
      </c>
      <c r="AC90">
        <f>IFERROR(VLOOKUP(K90,PointsMap!D2:E3,2,0),0)</f>
        <v>0</v>
      </c>
      <c r="AD90">
        <f>IFERROR(VLOOKUP(M90,PointsMap!G2:H5,2,0),0)</f>
        <v>0</v>
      </c>
      <c r="AE90">
        <f>IFERROR(VLOOKUP(AA90,PointsMap!M2:N5,2,0),0)</f>
        <v>0</v>
      </c>
      <c r="AF90">
        <f>IFERROR(VLOOKUP(Z90,PointsMap!J2:K5,2,0),0)</f>
        <v>0</v>
      </c>
      <c r="AG90">
        <f>MIN(8,VALUE(T90)*2)</f>
        <v>0</v>
      </c>
      <c r="AH90">
        <f>IFERROR(VLOOKUP(Q90,PointsMap!P2:Q5,2,0),0)</f>
        <v>0</v>
      </c>
      <c r="AI90">
        <f>MIN(8,ROUND(VALUE(G90)*8,0))</f>
        <v>0</v>
      </c>
      <c r="AJ90">
        <f>IFERROR(VLOOKUP(I90,PointsMap!A2:B5,2,0),0)</f>
        <v>0</v>
      </c>
      <c r="AK90">
        <f>IFERROR(VLOOKUP(W90,PointsMap!S2:T4,2,0),0)</f>
        <v>0</v>
      </c>
      <c r="AL90">
        <f>IFERROR(VLOOKUP(X90,PointsMap!V2:W4,2,0),0)</f>
        <v>0</v>
      </c>
      <c r="AM90">
        <f>MIN(5,VALUE(V90))</f>
        <v>0</v>
      </c>
      <c r="AN90">
        <f>AB90</f>
        <v>0</v>
      </c>
      <c r="AO90">
        <f>AC90+AD90+AE90+AF90</f>
        <v>0</v>
      </c>
      <c r="AP90">
        <f>AG90+AH90</f>
        <v>0</v>
      </c>
      <c r="AQ90">
        <f>AI90+AJ90</f>
        <v>0</v>
      </c>
      <c r="AR90">
        <f>AK90+AL90+AM90</f>
        <v>0</v>
      </c>
      <c r="AS90">
        <f>AN90*Weights!B3/100+AO90*Weights!B4/100+AP90*Weights!B5/100+AQ90*Weights!B6/100+AR90*Weights!B7/100</f>
        <v>0</v>
      </c>
      <c r="AT90" s="2" t="s">
        <v>385</v>
      </c>
      <c r="AY90" s="2" t="s">
        <v>242</v>
      </c>
      <c r="BB90" s="2" t="s">
        <v>629</v>
      </c>
      <c r="BC90" s="2" t="s">
        <v>640</v>
      </c>
      <c r="BD90" t="s">
        <v>722</v>
      </c>
    </row>
    <row r="91" spans="1:56">
      <c r="A91" t="s">
        <v>145</v>
      </c>
      <c r="B91" s="2" t="s">
        <v>243</v>
      </c>
      <c r="C91" t="s">
        <v>255</v>
      </c>
      <c r="D91">
        <v>1998</v>
      </c>
      <c r="E91">
        <v>1</v>
      </c>
      <c r="F91" t="s">
        <v>268</v>
      </c>
      <c r="I91" t="s">
        <v>271</v>
      </c>
      <c r="J91" t="s">
        <v>275</v>
      </c>
      <c r="M91" t="s">
        <v>279</v>
      </c>
      <c r="R91" t="s">
        <v>286</v>
      </c>
      <c r="S91" t="s">
        <v>290</v>
      </c>
      <c r="U91" t="s">
        <v>294</v>
      </c>
      <c r="W91" t="s">
        <v>296</v>
      </c>
      <c r="X91" t="s">
        <v>298</v>
      </c>
      <c r="Y91" t="s">
        <v>301</v>
      </c>
      <c r="Z91" t="s">
        <v>304</v>
      </c>
      <c r="AA91" t="s">
        <v>283</v>
      </c>
      <c r="AB91">
        <f>VALUE(R91)*6</f>
        <v>0</v>
      </c>
      <c r="AC91">
        <f>IFERROR(VLOOKUP(K91,PointsMap!D2:E3,2,0),0)</f>
        <v>0</v>
      </c>
      <c r="AD91">
        <f>IFERROR(VLOOKUP(M91,PointsMap!G2:H5,2,0),0)</f>
        <v>0</v>
      </c>
      <c r="AE91">
        <f>IFERROR(VLOOKUP(AA91,PointsMap!M2:N5,2,0),0)</f>
        <v>0</v>
      </c>
      <c r="AF91">
        <f>IFERROR(VLOOKUP(Z91,PointsMap!J2:K5,2,0),0)</f>
        <v>0</v>
      </c>
      <c r="AG91">
        <f>MIN(8,VALUE(T91)*2)</f>
        <v>0</v>
      </c>
      <c r="AH91">
        <f>IFERROR(VLOOKUP(Q91,PointsMap!P2:Q5,2,0),0)</f>
        <v>0</v>
      </c>
      <c r="AI91">
        <f>MIN(8,ROUND(VALUE(G91)*8,0))</f>
        <v>0</v>
      </c>
      <c r="AJ91">
        <f>IFERROR(VLOOKUP(I91,PointsMap!A2:B5,2,0),0)</f>
        <v>0</v>
      </c>
      <c r="AK91">
        <f>IFERROR(VLOOKUP(W91,PointsMap!S2:T4,2,0),0)</f>
        <v>0</v>
      </c>
      <c r="AL91">
        <f>IFERROR(VLOOKUP(X91,PointsMap!V2:W4,2,0),0)</f>
        <v>0</v>
      </c>
      <c r="AM91">
        <f>MIN(5,VALUE(V91))</f>
        <v>0</v>
      </c>
      <c r="AN91">
        <f>AB91</f>
        <v>0</v>
      </c>
      <c r="AO91">
        <f>AC91+AD91+AE91+AF91</f>
        <v>0</v>
      </c>
      <c r="AP91">
        <f>AG91+AH91</f>
        <v>0</v>
      </c>
      <c r="AQ91">
        <f>AI91+AJ91</f>
        <v>0</v>
      </c>
      <c r="AR91">
        <f>AK91+AL91+AM91</f>
        <v>0</v>
      </c>
      <c r="AS91">
        <f>AN91*Weights!B3/100+AO91*Weights!B4/100+AP91*Weights!B5/100+AQ91*Weights!B6/100+AR91*Weights!B7/100</f>
        <v>0</v>
      </c>
      <c r="AT91" s="2" t="s">
        <v>386</v>
      </c>
      <c r="AY91" s="2" t="s">
        <v>513</v>
      </c>
      <c r="BA91" s="2" t="s">
        <v>545</v>
      </c>
      <c r="BB91" s="2" t="s">
        <v>630</v>
      </c>
      <c r="BD91" t="s">
        <v>723</v>
      </c>
    </row>
    <row r="92" spans="1:56">
      <c r="A92" t="s">
        <v>146</v>
      </c>
      <c r="B92" s="2" t="s">
        <v>164</v>
      </c>
      <c r="C92" t="s">
        <v>255</v>
      </c>
      <c r="D92">
        <v>1991</v>
      </c>
      <c r="E92">
        <v>1</v>
      </c>
      <c r="F92" t="s">
        <v>265</v>
      </c>
      <c r="I92" t="s">
        <v>270</v>
      </c>
      <c r="J92" t="s">
        <v>275</v>
      </c>
      <c r="M92" t="s">
        <v>278</v>
      </c>
      <c r="R92" t="s">
        <v>285</v>
      </c>
      <c r="S92" t="s">
        <v>289</v>
      </c>
      <c r="U92" t="s">
        <v>294</v>
      </c>
      <c r="W92" t="s">
        <v>295</v>
      </c>
      <c r="X92" t="s">
        <v>297</v>
      </c>
      <c r="Y92" t="s">
        <v>299</v>
      </c>
      <c r="Z92" t="s">
        <v>304</v>
      </c>
      <c r="AA92" t="s">
        <v>307</v>
      </c>
      <c r="AB92">
        <f>VALUE(R92)*6</f>
        <v>0</v>
      </c>
      <c r="AC92">
        <f>IFERROR(VLOOKUP(K92,PointsMap!D2:E3,2,0),0)</f>
        <v>0</v>
      </c>
      <c r="AD92">
        <f>IFERROR(VLOOKUP(M92,PointsMap!G2:H5,2,0),0)</f>
        <v>0</v>
      </c>
      <c r="AE92">
        <f>IFERROR(VLOOKUP(AA92,PointsMap!M2:N5,2,0),0)</f>
        <v>0</v>
      </c>
      <c r="AF92">
        <f>IFERROR(VLOOKUP(Z92,PointsMap!J2:K5,2,0),0)</f>
        <v>0</v>
      </c>
      <c r="AG92">
        <f>MIN(8,VALUE(T92)*2)</f>
        <v>0</v>
      </c>
      <c r="AH92">
        <f>IFERROR(VLOOKUP(Q92,PointsMap!P2:Q5,2,0),0)</f>
        <v>0</v>
      </c>
      <c r="AI92">
        <f>MIN(8,ROUND(VALUE(G92)*8,0))</f>
        <v>0</v>
      </c>
      <c r="AJ92">
        <f>IFERROR(VLOOKUP(I92,PointsMap!A2:B5,2,0),0)</f>
        <v>0</v>
      </c>
      <c r="AK92">
        <f>IFERROR(VLOOKUP(W92,PointsMap!S2:T4,2,0),0)</f>
        <v>0</v>
      </c>
      <c r="AL92">
        <f>IFERROR(VLOOKUP(X92,PointsMap!V2:W4,2,0),0)</f>
        <v>0</v>
      </c>
      <c r="AM92">
        <f>MIN(5,VALUE(V92))</f>
        <v>0</v>
      </c>
      <c r="AN92">
        <f>AB92</f>
        <v>0</v>
      </c>
      <c r="AO92">
        <f>AC92+AD92+AE92+AF92</f>
        <v>0</v>
      </c>
      <c r="AP92">
        <f>AG92+AH92</f>
        <v>0</v>
      </c>
      <c r="AQ92">
        <f>AI92+AJ92</f>
        <v>0</v>
      </c>
      <c r="AR92">
        <f>AK92+AL92+AM92</f>
        <v>0</v>
      </c>
      <c r="AS92">
        <f>AN92*Weights!B3/100+AO92*Weights!B4/100+AP92*Weights!B5/100+AQ92*Weights!B6/100+AR92*Weights!B7/100</f>
        <v>0</v>
      </c>
    </row>
    <row r="93" spans="1:56">
      <c r="A93" t="s">
        <v>147</v>
      </c>
      <c r="B93" s="2" t="s">
        <v>244</v>
      </c>
      <c r="C93" t="s">
        <v>261</v>
      </c>
      <c r="D93">
        <v>1998</v>
      </c>
      <c r="E93">
        <v>3</v>
      </c>
      <c r="F93" t="s">
        <v>266</v>
      </c>
      <c r="I93" t="s">
        <v>270</v>
      </c>
      <c r="J93" t="s">
        <v>275</v>
      </c>
      <c r="M93" t="s">
        <v>278</v>
      </c>
      <c r="R93" t="s">
        <v>284</v>
      </c>
      <c r="S93" t="s">
        <v>287</v>
      </c>
      <c r="U93" t="s">
        <v>291</v>
      </c>
      <c r="W93" t="s">
        <v>283</v>
      </c>
      <c r="X93" t="s">
        <v>298</v>
      </c>
      <c r="Y93" t="s">
        <v>299</v>
      </c>
      <c r="Z93" t="s">
        <v>302</v>
      </c>
      <c r="AA93" t="s">
        <v>307</v>
      </c>
      <c r="AB93">
        <f>VALUE(R93)*6</f>
        <v>0</v>
      </c>
      <c r="AC93">
        <f>IFERROR(VLOOKUP(K93,PointsMap!D2:E3,2,0),0)</f>
        <v>0</v>
      </c>
      <c r="AD93">
        <f>IFERROR(VLOOKUP(M93,PointsMap!G2:H5,2,0),0)</f>
        <v>0</v>
      </c>
      <c r="AE93">
        <f>IFERROR(VLOOKUP(AA93,PointsMap!M2:N5,2,0),0)</f>
        <v>0</v>
      </c>
      <c r="AF93">
        <f>IFERROR(VLOOKUP(Z93,PointsMap!J2:K5,2,0),0)</f>
        <v>0</v>
      </c>
      <c r="AG93">
        <f>MIN(8,VALUE(T93)*2)</f>
        <v>0</v>
      </c>
      <c r="AH93">
        <f>IFERROR(VLOOKUP(Q93,PointsMap!P2:Q5,2,0),0)</f>
        <v>0</v>
      </c>
      <c r="AI93">
        <f>MIN(8,ROUND(VALUE(G93)*8,0))</f>
        <v>0</v>
      </c>
      <c r="AJ93">
        <f>IFERROR(VLOOKUP(I93,PointsMap!A2:B5,2,0),0)</f>
        <v>0</v>
      </c>
      <c r="AK93">
        <f>IFERROR(VLOOKUP(W93,PointsMap!S2:T4,2,0),0)</f>
        <v>0</v>
      </c>
      <c r="AL93">
        <f>IFERROR(VLOOKUP(X93,PointsMap!V2:W4,2,0),0)</f>
        <v>0</v>
      </c>
      <c r="AM93">
        <f>MIN(5,VALUE(V93))</f>
        <v>0</v>
      </c>
      <c r="AN93">
        <f>AB93</f>
        <v>0</v>
      </c>
      <c r="AO93">
        <f>AC93+AD93+AE93+AF93</f>
        <v>0</v>
      </c>
      <c r="AP93">
        <f>AG93+AH93</f>
        <v>0</v>
      </c>
      <c r="AQ93">
        <f>AI93+AJ93</f>
        <v>0</v>
      </c>
      <c r="AR93">
        <f>AK93+AL93+AM93</f>
        <v>0</v>
      </c>
      <c r="AS93">
        <f>AN93*Weights!B3/100+AO93*Weights!B4/100+AP93*Weights!B5/100+AQ93*Weights!B6/100+AR93*Weights!B7/100</f>
        <v>0</v>
      </c>
      <c r="AT93" s="2" t="s">
        <v>387</v>
      </c>
      <c r="AY93" s="2" t="s">
        <v>514</v>
      </c>
      <c r="BB93" s="2" t="s">
        <v>631</v>
      </c>
      <c r="BD93" t="s">
        <v>724</v>
      </c>
    </row>
    <row r="94" spans="1:56">
      <c r="A94" t="s">
        <v>148</v>
      </c>
      <c r="B94" s="2" t="s">
        <v>160</v>
      </c>
      <c r="C94" t="s">
        <v>254</v>
      </c>
      <c r="D94">
        <v>1969</v>
      </c>
      <c r="E94">
        <v>20</v>
      </c>
      <c r="F94" t="s">
        <v>264</v>
      </c>
      <c r="I94" t="s">
        <v>270</v>
      </c>
      <c r="J94" t="s">
        <v>274</v>
      </c>
      <c r="M94" t="s">
        <v>278</v>
      </c>
      <c r="R94" t="s">
        <v>284</v>
      </c>
      <c r="S94" t="s">
        <v>287</v>
      </c>
      <c r="U94" t="s">
        <v>291</v>
      </c>
      <c r="W94" t="s">
        <v>295</v>
      </c>
      <c r="X94" t="s">
        <v>297</v>
      </c>
      <c r="Y94" t="s">
        <v>299</v>
      </c>
      <c r="Z94" t="s">
        <v>302</v>
      </c>
      <c r="AA94" t="s">
        <v>307</v>
      </c>
      <c r="AB94">
        <f>VALUE(R94)*6</f>
        <v>0</v>
      </c>
      <c r="AC94">
        <f>IFERROR(VLOOKUP(K94,PointsMap!D2:E3,2,0),0)</f>
        <v>0</v>
      </c>
      <c r="AD94">
        <f>IFERROR(VLOOKUP(M94,PointsMap!G2:H5,2,0),0)</f>
        <v>0</v>
      </c>
      <c r="AE94">
        <f>IFERROR(VLOOKUP(AA94,PointsMap!M2:N5,2,0),0)</f>
        <v>0</v>
      </c>
      <c r="AF94">
        <f>IFERROR(VLOOKUP(Z94,PointsMap!J2:K5,2,0),0)</f>
        <v>0</v>
      </c>
      <c r="AG94">
        <f>MIN(8,VALUE(T94)*2)</f>
        <v>0</v>
      </c>
      <c r="AH94">
        <f>IFERROR(VLOOKUP(Q94,PointsMap!P2:Q5,2,0),0)</f>
        <v>0</v>
      </c>
      <c r="AI94">
        <f>MIN(8,ROUND(VALUE(G94)*8,0))</f>
        <v>0</v>
      </c>
      <c r="AJ94">
        <f>IFERROR(VLOOKUP(I94,PointsMap!A2:B5,2,0),0)</f>
        <v>0</v>
      </c>
      <c r="AK94">
        <f>IFERROR(VLOOKUP(W94,PointsMap!S2:T4,2,0),0)</f>
        <v>0</v>
      </c>
      <c r="AL94">
        <f>IFERROR(VLOOKUP(X94,PointsMap!V2:W4,2,0),0)</f>
        <v>0</v>
      </c>
      <c r="AM94">
        <f>MIN(5,VALUE(V94))</f>
        <v>0</v>
      </c>
      <c r="AN94">
        <f>AB94</f>
        <v>0</v>
      </c>
      <c r="AO94">
        <f>AC94+AD94+AE94+AF94</f>
        <v>0</v>
      </c>
      <c r="AP94">
        <f>AG94+AH94</f>
        <v>0</v>
      </c>
      <c r="AQ94">
        <f>AI94+AJ94</f>
        <v>0</v>
      </c>
      <c r="AR94">
        <f>AK94+AL94+AM94</f>
        <v>0</v>
      </c>
      <c r="AS94">
        <f>AN94*Weights!B3/100+AO94*Weights!B4/100+AP94*Weights!B5/100+AQ94*Weights!B6/100+AR94*Weights!B7/100</f>
        <v>0</v>
      </c>
      <c r="AT94" s="2" t="s">
        <v>311</v>
      </c>
      <c r="AY94" s="2" t="s">
        <v>435</v>
      </c>
      <c r="BB94" s="2" t="s">
        <v>551</v>
      </c>
      <c r="BD94" t="s">
        <v>644</v>
      </c>
    </row>
    <row r="95" spans="1:56">
      <c r="A95" t="s">
        <v>149</v>
      </c>
      <c r="B95" s="2" t="s">
        <v>245</v>
      </c>
      <c r="C95" t="s">
        <v>258</v>
      </c>
      <c r="D95">
        <v>2014</v>
      </c>
      <c r="E95">
        <v>13</v>
      </c>
      <c r="F95" t="s">
        <v>264</v>
      </c>
      <c r="I95" t="s">
        <v>270</v>
      </c>
      <c r="J95" t="s">
        <v>274</v>
      </c>
      <c r="M95" t="s">
        <v>279</v>
      </c>
      <c r="R95" t="s">
        <v>284</v>
      </c>
      <c r="S95" t="s">
        <v>287</v>
      </c>
      <c r="U95" t="s">
        <v>291</v>
      </c>
      <c r="W95" t="s">
        <v>283</v>
      </c>
      <c r="X95" t="s">
        <v>298</v>
      </c>
      <c r="Y95" t="s">
        <v>301</v>
      </c>
      <c r="Z95" t="s">
        <v>302</v>
      </c>
      <c r="AA95" t="s">
        <v>307</v>
      </c>
      <c r="AB95">
        <f>VALUE(R95)*6</f>
        <v>0</v>
      </c>
      <c r="AC95">
        <f>IFERROR(VLOOKUP(K95,PointsMap!D2:E3,2,0),0)</f>
        <v>0</v>
      </c>
      <c r="AD95">
        <f>IFERROR(VLOOKUP(M95,PointsMap!G2:H5,2,0),0)</f>
        <v>0</v>
      </c>
      <c r="AE95">
        <f>IFERROR(VLOOKUP(AA95,PointsMap!M2:N5,2,0),0)</f>
        <v>0</v>
      </c>
      <c r="AF95">
        <f>IFERROR(VLOOKUP(Z95,PointsMap!J2:K5,2,0),0)</f>
        <v>0</v>
      </c>
      <c r="AG95">
        <f>MIN(8,VALUE(T95)*2)</f>
        <v>0</v>
      </c>
      <c r="AH95">
        <f>IFERROR(VLOOKUP(Q95,PointsMap!P2:Q5,2,0),0)</f>
        <v>0</v>
      </c>
      <c r="AI95">
        <f>MIN(8,ROUND(VALUE(G95)*8,0))</f>
        <v>0</v>
      </c>
      <c r="AJ95">
        <f>IFERROR(VLOOKUP(I95,PointsMap!A2:B5,2,0),0)</f>
        <v>0</v>
      </c>
      <c r="AK95">
        <f>IFERROR(VLOOKUP(W95,PointsMap!S2:T4,2,0),0)</f>
        <v>0</v>
      </c>
      <c r="AL95">
        <f>IFERROR(VLOOKUP(X95,PointsMap!V2:W4,2,0),0)</f>
        <v>0</v>
      </c>
      <c r="AM95">
        <f>MIN(5,VALUE(V95))</f>
        <v>0</v>
      </c>
      <c r="AN95">
        <f>AB95</f>
        <v>0</v>
      </c>
      <c r="AO95">
        <f>AC95+AD95+AE95+AF95</f>
        <v>0</v>
      </c>
      <c r="AP95">
        <f>AG95+AH95</f>
        <v>0</v>
      </c>
      <c r="AQ95">
        <f>AI95+AJ95</f>
        <v>0</v>
      </c>
      <c r="AR95">
        <f>AK95+AL95+AM95</f>
        <v>0</v>
      </c>
      <c r="AS95">
        <f>AN95*Weights!B3/100+AO95*Weights!B4/100+AP95*Weights!B5/100+AQ95*Weights!B6/100+AR95*Weights!B7/100</f>
        <v>0</v>
      </c>
      <c r="AT95" s="2" t="s">
        <v>245</v>
      </c>
      <c r="AY95" s="2" t="s">
        <v>515</v>
      </c>
      <c r="BB95" s="2" t="s">
        <v>632</v>
      </c>
      <c r="BD95" t="s">
        <v>725</v>
      </c>
    </row>
    <row r="96" spans="1:56">
      <c r="A96" t="s">
        <v>150</v>
      </c>
      <c r="B96" s="2" t="s">
        <v>246</v>
      </c>
      <c r="C96" t="s">
        <v>255</v>
      </c>
      <c r="D96">
        <v>2009</v>
      </c>
      <c r="E96">
        <v>16</v>
      </c>
      <c r="F96" t="s">
        <v>265</v>
      </c>
      <c r="I96" t="s">
        <v>269</v>
      </c>
      <c r="J96" t="s">
        <v>275</v>
      </c>
      <c r="K96" t="s">
        <v>276</v>
      </c>
      <c r="M96" t="s">
        <v>278</v>
      </c>
      <c r="N96" t="s">
        <v>276</v>
      </c>
      <c r="Q96">
        <v>3</v>
      </c>
      <c r="R96" t="s">
        <v>287</v>
      </c>
      <c r="T96" t="s">
        <v>291</v>
      </c>
      <c r="V96" t="s">
        <v>295</v>
      </c>
      <c r="W96" t="s">
        <v>297</v>
      </c>
      <c r="X96" t="s">
        <v>299</v>
      </c>
      <c r="Y96" t="s">
        <v>302</v>
      </c>
      <c r="Z96" t="s">
        <v>305</v>
      </c>
      <c r="AB96">
        <f>VALUE(R96)*6</f>
        <v>0</v>
      </c>
      <c r="AC96">
        <f>IFERROR(VLOOKUP(K96,PointsMap!D2:E3,2,0),0)</f>
        <v>0</v>
      </c>
      <c r="AD96">
        <f>IFERROR(VLOOKUP(M96,PointsMap!G2:H5,2,0),0)</f>
        <v>0</v>
      </c>
      <c r="AE96">
        <f>IFERROR(VLOOKUP(AA96,PointsMap!M2:N5,2,0),0)</f>
        <v>0</v>
      </c>
      <c r="AF96">
        <f>IFERROR(VLOOKUP(Z96,PointsMap!J2:K5,2,0),0)</f>
        <v>0</v>
      </c>
      <c r="AG96">
        <f>MIN(8,VALUE(T96)*2)</f>
        <v>0</v>
      </c>
      <c r="AH96">
        <f>IFERROR(VLOOKUP(Q96,PointsMap!P2:Q5,2,0),0)</f>
        <v>0</v>
      </c>
      <c r="AI96">
        <f>MIN(8,ROUND(VALUE(G96)*8,0))</f>
        <v>0</v>
      </c>
      <c r="AJ96">
        <f>IFERROR(VLOOKUP(I96,PointsMap!A2:B5,2,0),0)</f>
        <v>0</v>
      </c>
      <c r="AK96">
        <f>IFERROR(VLOOKUP(W96,PointsMap!S2:T4,2,0),0)</f>
        <v>0</v>
      </c>
      <c r="AL96">
        <f>IFERROR(VLOOKUP(X96,PointsMap!V2:W4,2,0),0)</f>
        <v>0</v>
      </c>
      <c r="AM96">
        <f>MIN(5,VALUE(V96))</f>
        <v>0</v>
      </c>
      <c r="AN96">
        <f>AB96</f>
        <v>0</v>
      </c>
      <c r="AO96">
        <f>AC96+AD96+AE96+AF96</f>
        <v>0</v>
      </c>
      <c r="AP96">
        <f>AG96+AH96</f>
        <v>0</v>
      </c>
      <c r="AQ96">
        <f>AI96+AJ96</f>
        <v>0</v>
      </c>
      <c r="AR96">
        <f>AK96+AL96+AM96</f>
        <v>0</v>
      </c>
      <c r="AS96">
        <f>AN96*Weights!B3/100+AO96*Weights!B4/100+AP96*Weights!B5/100+AQ96*Weights!B6/100+AR96*Weights!B7/100</f>
        <v>0</v>
      </c>
      <c r="AT96" s="2" t="s">
        <v>388</v>
      </c>
      <c r="AY96" s="2" t="s">
        <v>516</v>
      </c>
      <c r="BB96" s="2" t="s">
        <v>633</v>
      </c>
      <c r="BD96" t="s">
        <v>726</v>
      </c>
    </row>
    <row r="97" spans="1:56">
      <c r="A97" t="s">
        <v>151</v>
      </c>
      <c r="B97" s="2" t="s">
        <v>247</v>
      </c>
      <c r="C97" t="s">
        <v>257</v>
      </c>
      <c r="D97">
        <v>2008</v>
      </c>
      <c r="E97">
        <v>8</v>
      </c>
      <c r="F97" t="s">
        <v>264</v>
      </c>
      <c r="I97" t="s">
        <v>269</v>
      </c>
      <c r="J97" t="s">
        <v>275</v>
      </c>
      <c r="M97" t="s">
        <v>278</v>
      </c>
      <c r="R97" t="s">
        <v>284</v>
      </c>
      <c r="S97" t="s">
        <v>287</v>
      </c>
      <c r="U97" t="s">
        <v>291</v>
      </c>
      <c r="W97" t="s">
        <v>295</v>
      </c>
      <c r="X97" t="s">
        <v>297</v>
      </c>
      <c r="Y97" t="s">
        <v>299</v>
      </c>
      <c r="Z97" t="s">
        <v>302</v>
      </c>
      <c r="AA97" t="s">
        <v>307</v>
      </c>
      <c r="AB97">
        <f>VALUE(R97)*6</f>
        <v>0</v>
      </c>
      <c r="AC97">
        <f>IFERROR(VLOOKUP(K97,PointsMap!D2:E3,2,0),0)</f>
        <v>0</v>
      </c>
      <c r="AD97">
        <f>IFERROR(VLOOKUP(M97,PointsMap!G2:H5,2,0),0)</f>
        <v>0</v>
      </c>
      <c r="AE97">
        <f>IFERROR(VLOOKUP(AA97,PointsMap!M2:N5,2,0),0)</f>
        <v>0</v>
      </c>
      <c r="AF97">
        <f>IFERROR(VLOOKUP(Z97,PointsMap!J2:K5,2,0),0)</f>
        <v>0</v>
      </c>
      <c r="AG97">
        <f>MIN(8,VALUE(T97)*2)</f>
        <v>0</v>
      </c>
      <c r="AH97">
        <f>IFERROR(VLOOKUP(Q97,PointsMap!P2:Q5,2,0),0)</f>
        <v>0</v>
      </c>
      <c r="AI97">
        <f>MIN(8,ROUND(VALUE(G97)*8,0))</f>
        <v>0</v>
      </c>
      <c r="AJ97">
        <f>IFERROR(VLOOKUP(I97,PointsMap!A2:B5,2,0),0)</f>
        <v>0</v>
      </c>
      <c r="AK97">
        <f>IFERROR(VLOOKUP(W97,PointsMap!S2:T4,2,0),0)</f>
        <v>0</v>
      </c>
      <c r="AL97">
        <f>IFERROR(VLOOKUP(X97,PointsMap!V2:W4,2,0),0)</f>
        <v>0</v>
      </c>
      <c r="AM97">
        <f>MIN(5,VALUE(V97))</f>
        <v>0</v>
      </c>
      <c r="AN97">
        <f>AB97</f>
        <v>0</v>
      </c>
      <c r="AO97">
        <f>AC97+AD97+AE97+AF97</f>
        <v>0</v>
      </c>
      <c r="AP97">
        <f>AG97+AH97</f>
        <v>0</v>
      </c>
      <c r="AQ97">
        <f>AI97+AJ97</f>
        <v>0</v>
      </c>
      <c r="AR97">
        <f>AK97+AL97+AM97</f>
        <v>0</v>
      </c>
      <c r="AS97">
        <f>AN97*Weights!B3/100+AO97*Weights!B4/100+AP97*Weights!B5/100+AQ97*Weights!B6/100+AR97*Weights!B7/100</f>
        <v>0</v>
      </c>
      <c r="AT97" s="2" t="s">
        <v>389</v>
      </c>
      <c r="AY97" s="2" t="s">
        <v>517</v>
      </c>
      <c r="BA97" s="2" t="s">
        <v>546</v>
      </c>
      <c r="BB97" s="2" t="s">
        <v>634</v>
      </c>
      <c r="BD97" t="s">
        <v>727</v>
      </c>
    </row>
    <row r="98" spans="1:56">
      <c r="A98" t="s">
        <v>152</v>
      </c>
      <c r="B98" s="2" t="s">
        <v>248</v>
      </c>
      <c r="C98" t="s">
        <v>255</v>
      </c>
      <c r="D98">
        <v>1991</v>
      </c>
      <c r="E98">
        <v>15</v>
      </c>
      <c r="F98" t="s">
        <v>264</v>
      </c>
      <c r="I98" t="s">
        <v>269</v>
      </c>
      <c r="J98" t="s">
        <v>275</v>
      </c>
      <c r="M98" t="s">
        <v>279</v>
      </c>
      <c r="R98" t="s">
        <v>284</v>
      </c>
      <c r="S98" t="s">
        <v>287</v>
      </c>
      <c r="U98" t="s">
        <v>291</v>
      </c>
      <c r="W98" t="s">
        <v>295</v>
      </c>
      <c r="X98" t="s">
        <v>297</v>
      </c>
      <c r="Y98" t="s">
        <v>299</v>
      </c>
      <c r="Z98" t="s">
        <v>302</v>
      </c>
      <c r="AA98" t="s">
        <v>307</v>
      </c>
      <c r="AB98">
        <f>VALUE(R98)*6</f>
        <v>0</v>
      </c>
      <c r="AC98">
        <f>IFERROR(VLOOKUP(K98,PointsMap!D2:E3,2,0),0)</f>
        <v>0</v>
      </c>
      <c r="AD98">
        <f>IFERROR(VLOOKUP(M98,PointsMap!G2:H5,2,0),0)</f>
        <v>0</v>
      </c>
      <c r="AE98">
        <f>IFERROR(VLOOKUP(AA98,PointsMap!M2:N5,2,0),0)</f>
        <v>0</v>
      </c>
      <c r="AF98">
        <f>IFERROR(VLOOKUP(Z98,PointsMap!J2:K5,2,0),0)</f>
        <v>0</v>
      </c>
      <c r="AG98">
        <f>MIN(8,VALUE(T98)*2)</f>
        <v>0</v>
      </c>
      <c r="AH98">
        <f>IFERROR(VLOOKUP(Q98,PointsMap!P2:Q5,2,0),0)</f>
        <v>0</v>
      </c>
      <c r="AI98">
        <f>MIN(8,ROUND(VALUE(G98)*8,0))</f>
        <v>0</v>
      </c>
      <c r="AJ98">
        <f>IFERROR(VLOOKUP(I98,PointsMap!A2:B5,2,0),0)</f>
        <v>0</v>
      </c>
      <c r="AK98">
        <f>IFERROR(VLOOKUP(W98,PointsMap!S2:T4,2,0),0)</f>
        <v>0</v>
      </c>
      <c r="AL98">
        <f>IFERROR(VLOOKUP(X98,PointsMap!V2:W4,2,0),0)</f>
        <v>0</v>
      </c>
      <c r="AM98">
        <f>MIN(5,VALUE(V98))</f>
        <v>0</v>
      </c>
      <c r="AN98">
        <f>AB98</f>
        <v>0</v>
      </c>
      <c r="AO98">
        <f>AC98+AD98+AE98+AF98</f>
        <v>0</v>
      </c>
      <c r="AP98">
        <f>AG98+AH98</f>
        <v>0</v>
      </c>
      <c r="AQ98">
        <f>AI98+AJ98</f>
        <v>0</v>
      </c>
      <c r="AR98">
        <f>AK98+AL98+AM98</f>
        <v>0</v>
      </c>
      <c r="AS98">
        <f>AN98*Weights!B3/100+AO98*Weights!B4/100+AP98*Weights!B5/100+AQ98*Weights!B6/100+AR98*Weights!B7/100</f>
        <v>0</v>
      </c>
      <c r="AT98" s="2" t="s">
        <v>390</v>
      </c>
      <c r="AY98" s="2" t="s">
        <v>518</v>
      </c>
      <c r="BB98" s="2" t="s">
        <v>635</v>
      </c>
      <c r="BD98" t="s">
        <v>728</v>
      </c>
    </row>
    <row r="99" spans="1:56">
      <c r="A99" t="s">
        <v>153</v>
      </c>
      <c r="B99" s="2" t="s">
        <v>249</v>
      </c>
      <c r="C99" t="s">
        <v>255</v>
      </c>
      <c r="D99">
        <v>2007</v>
      </c>
      <c r="E99">
        <v>12</v>
      </c>
      <c r="F99" t="s">
        <v>264</v>
      </c>
      <c r="I99" t="s">
        <v>269</v>
      </c>
      <c r="J99" t="s">
        <v>275</v>
      </c>
      <c r="M99" t="s">
        <v>279</v>
      </c>
      <c r="R99" t="s">
        <v>284</v>
      </c>
      <c r="S99" t="s">
        <v>287</v>
      </c>
      <c r="U99" t="s">
        <v>291</v>
      </c>
      <c r="W99" t="s">
        <v>295</v>
      </c>
      <c r="X99" t="s">
        <v>297</v>
      </c>
      <c r="Y99" t="s">
        <v>299</v>
      </c>
      <c r="Z99" t="s">
        <v>302</v>
      </c>
      <c r="AA99" t="s">
        <v>307</v>
      </c>
      <c r="AB99">
        <f>VALUE(R99)*6</f>
        <v>0</v>
      </c>
      <c r="AC99">
        <f>IFERROR(VLOOKUP(K99,PointsMap!D2:E3,2,0),0)</f>
        <v>0</v>
      </c>
      <c r="AD99">
        <f>IFERROR(VLOOKUP(M99,PointsMap!G2:H5,2,0),0)</f>
        <v>0</v>
      </c>
      <c r="AE99">
        <f>IFERROR(VLOOKUP(AA99,PointsMap!M2:N5,2,0),0)</f>
        <v>0</v>
      </c>
      <c r="AF99">
        <f>IFERROR(VLOOKUP(Z99,PointsMap!J2:K5,2,0),0)</f>
        <v>0</v>
      </c>
      <c r="AG99">
        <f>MIN(8,VALUE(T99)*2)</f>
        <v>0</v>
      </c>
      <c r="AH99">
        <f>IFERROR(VLOOKUP(Q99,PointsMap!P2:Q5,2,0),0)</f>
        <v>0</v>
      </c>
      <c r="AI99">
        <f>MIN(8,ROUND(VALUE(G99)*8,0))</f>
        <v>0</v>
      </c>
      <c r="AJ99">
        <f>IFERROR(VLOOKUP(I99,PointsMap!A2:B5,2,0),0)</f>
        <v>0</v>
      </c>
      <c r="AK99">
        <f>IFERROR(VLOOKUP(W99,PointsMap!S2:T4,2,0),0)</f>
        <v>0</v>
      </c>
      <c r="AL99">
        <f>IFERROR(VLOOKUP(X99,PointsMap!V2:W4,2,0),0)</f>
        <v>0</v>
      </c>
      <c r="AM99">
        <f>MIN(5,VALUE(V99))</f>
        <v>0</v>
      </c>
      <c r="AN99">
        <f>AB99</f>
        <v>0</v>
      </c>
      <c r="AO99">
        <f>AC99+AD99+AE99+AF99</f>
        <v>0</v>
      </c>
      <c r="AP99">
        <f>AG99+AH99</f>
        <v>0</v>
      </c>
      <c r="AQ99">
        <f>AI99+AJ99</f>
        <v>0</v>
      </c>
      <c r="AR99">
        <f>AK99+AL99+AM99</f>
        <v>0</v>
      </c>
      <c r="AS99">
        <f>AN99*Weights!B3/100+AO99*Weights!B4/100+AP99*Weights!B5/100+AQ99*Weights!B6/100+AR99*Weights!B7/100</f>
        <v>0</v>
      </c>
      <c r="AT99" s="2" t="s">
        <v>391</v>
      </c>
      <c r="AY99" s="2" t="s">
        <v>519</v>
      </c>
      <c r="BB99" s="2" t="s">
        <v>636</v>
      </c>
      <c r="BD99" t="s">
        <v>729</v>
      </c>
    </row>
    <row r="100" spans="1:56">
      <c r="A100" t="s">
        <v>154</v>
      </c>
      <c r="B100" s="2" t="s">
        <v>250</v>
      </c>
      <c r="C100" t="s">
        <v>255</v>
      </c>
      <c r="D100">
        <v>2009</v>
      </c>
      <c r="E100">
        <v>5</v>
      </c>
      <c r="F100" t="s">
        <v>263</v>
      </c>
      <c r="I100" t="s">
        <v>269</v>
      </c>
      <c r="J100" t="s">
        <v>275</v>
      </c>
      <c r="M100" t="s">
        <v>279</v>
      </c>
      <c r="R100" t="s">
        <v>284</v>
      </c>
      <c r="S100" t="s">
        <v>287</v>
      </c>
      <c r="U100" t="s">
        <v>294</v>
      </c>
      <c r="W100" t="s">
        <v>283</v>
      </c>
      <c r="X100" t="s">
        <v>297</v>
      </c>
      <c r="Y100" t="s">
        <v>301</v>
      </c>
      <c r="Z100" t="s">
        <v>302</v>
      </c>
      <c r="AA100" t="s">
        <v>307</v>
      </c>
      <c r="AB100">
        <f>VALUE(R100)*6</f>
        <v>0</v>
      </c>
      <c r="AC100">
        <f>IFERROR(VLOOKUP(K100,PointsMap!D2:E3,2,0),0)</f>
        <v>0</v>
      </c>
      <c r="AD100">
        <f>IFERROR(VLOOKUP(M100,PointsMap!G2:H5,2,0),0)</f>
        <v>0</v>
      </c>
      <c r="AE100">
        <f>IFERROR(VLOOKUP(AA100,PointsMap!M2:N5,2,0),0)</f>
        <v>0</v>
      </c>
      <c r="AF100">
        <f>IFERROR(VLOOKUP(Z100,PointsMap!J2:K5,2,0),0)</f>
        <v>0</v>
      </c>
      <c r="AG100">
        <f>MIN(8,VALUE(T100)*2)</f>
        <v>0</v>
      </c>
      <c r="AH100">
        <f>IFERROR(VLOOKUP(Q100,PointsMap!P2:Q5,2,0),0)</f>
        <v>0</v>
      </c>
      <c r="AI100">
        <f>MIN(8,ROUND(VALUE(G100)*8,0))</f>
        <v>0</v>
      </c>
      <c r="AJ100">
        <f>IFERROR(VLOOKUP(I100,PointsMap!A2:B5,2,0),0)</f>
        <v>0</v>
      </c>
      <c r="AK100">
        <f>IFERROR(VLOOKUP(W100,PointsMap!S2:T4,2,0),0)</f>
        <v>0</v>
      </c>
      <c r="AL100">
        <f>IFERROR(VLOOKUP(X100,PointsMap!V2:W4,2,0),0)</f>
        <v>0</v>
      </c>
      <c r="AM100">
        <f>MIN(5,VALUE(V100))</f>
        <v>0</v>
      </c>
      <c r="AN100">
        <f>AB100</f>
        <v>0</v>
      </c>
      <c r="AO100">
        <f>AC100+AD100+AE100+AF100</f>
        <v>0</v>
      </c>
      <c r="AP100">
        <f>AG100+AH100</f>
        <v>0</v>
      </c>
      <c r="AQ100">
        <f>AI100+AJ100</f>
        <v>0</v>
      </c>
      <c r="AR100">
        <f>AK100+AL100+AM100</f>
        <v>0</v>
      </c>
      <c r="AS100">
        <f>AN100*Weights!B3/100+AO100*Weights!B4/100+AP100*Weights!B5/100+AQ100*Weights!B6/100+AR100*Weights!B7/100</f>
        <v>0</v>
      </c>
      <c r="AT100" s="2" t="s">
        <v>392</v>
      </c>
      <c r="AY100" s="2" t="s">
        <v>520</v>
      </c>
      <c r="BB100" s="2" t="s">
        <v>637</v>
      </c>
      <c r="BD100" t="s">
        <v>730</v>
      </c>
    </row>
    <row r="101" spans="1:56">
      <c r="A101" t="s">
        <v>155</v>
      </c>
      <c r="B101" s="2" t="s">
        <v>251</v>
      </c>
      <c r="C101" t="s">
        <v>255</v>
      </c>
      <c r="D101">
        <v>2003</v>
      </c>
      <c r="E101">
        <v>11</v>
      </c>
      <c r="F101" t="s">
        <v>266</v>
      </c>
      <c r="I101" t="s">
        <v>272</v>
      </c>
      <c r="J101" t="s">
        <v>275</v>
      </c>
      <c r="M101" t="s">
        <v>278</v>
      </c>
      <c r="R101" t="s">
        <v>284</v>
      </c>
      <c r="S101" t="s">
        <v>287</v>
      </c>
      <c r="U101" t="s">
        <v>291</v>
      </c>
      <c r="W101" t="s">
        <v>296</v>
      </c>
      <c r="X101" t="s">
        <v>297</v>
      </c>
      <c r="Y101" t="s">
        <v>299</v>
      </c>
      <c r="Z101" t="s">
        <v>303</v>
      </c>
      <c r="AA101" t="s">
        <v>306</v>
      </c>
      <c r="AB101">
        <f>VALUE(R101)*6</f>
        <v>0</v>
      </c>
      <c r="AC101">
        <f>IFERROR(VLOOKUP(K101,PointsMap!D2:E3,2,0),0)</f>
        <v>0</v>
      </c>
      <c r="AD101">
        <f>IFERROR(VLOOKUP(M101,PointsMap!G2:H5,2,0),0)</f>
        <v>0</v>
      </c>
      <c r="AE101">
        <f>IFERROR(VLOOKUP(AA101,PointsMap!M2:N5,2,0),0)</f>
        <v>0</v>
      </c>
      <c r="AF101">
        <f>IFERROR(VLOOKUP(Z101,PointsMap!J2:K5,2,0),0)</f>
        <v>0</v>
      </c>
      <c r="AG101">
        <f>MIN(8,VALUE(T101)*2)</f>
        <v>0</v>
      </c>
      <c r="AH101">
        <f>IFERROR(VLOOKUP(Q101,PointsMap!P2:Q5,2,0),0)</f>
        <v>0</v>
      </c>
      <c r="AI101">
        <f>MIN(8,ROUND(VALUE(G101)*8,0))</f>
        <v>0</v>
      </c>
      <c r="AJ101">
        <f>IFERROR(VLOOKUP(I101,PointsMap!A2:B5,2,0),0)</f>
        <v>0</v>
      </c>
      <c r="AK101">
        <f>IFERROR(VLOOKUP(W101,PointsMap!S2:T4,2,0),0)</f>
        <v>0</v>
      </c>
      <c r="AL101">
        <f>IFERROR(VLOOKUP(X101,PointsMap!V2:W4,2,0),0)</f>
        <v>0</v>
      </c>
      <c r="AM101">
        <f>MIN(5,VALUE(V101))</f>
        <v>0</v>
      </c>
      <c r="AN101">
        <f>AB101</f>
        <v>0</v>
      </c>
      <c r="AO101">
        <f>AC101+AD101+AE101+AF101</f>
        <v>0</v>
      </c>
      <c r="AP101">
        <f>AG101+AH101</f>
        <v>0</v>
      </c>
      <c r="AQ101">
        <f>AI101+AJ101</f>
        <v>0</v>
      </c>
      <c r="AR101">
        <f>AK101+AL101+AM101</f>
        <v>0</v>
      </c>
      <c r="AS101">
        <f>AN101*Weights!B3/100+AO101*Weights!B4/100+AP101*Weights!B5/100+AQ101*Weights!B6/100+AR101*Weights!B7/100</f>
        <v>0</v>
      </c>
      <c r="AT101" s="2" t="s">
        <v>393</v>
      </c>
      <c r="AY101" s="2" t="s">
        <v>521</v>
      </c>
      <c r="BA101" s="2" t="s">
        <v>547</v>
      </c>
      <c r="BB101" s="2" t="s">
        <v>638</v>
      </c>
      <c r="BD101" t="s">
        <v>731</v>
      </c>
    </row>
  </sheetData>
  <conditionalFormatting sqref="AB2:AS10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hyperlinks>
    <hyperlink ref="B2" r:id="rId1"/>
    <hyperlink ref="B3" r:id="rId2"/>
    <hyperlink ref="AT3" r:id="rId3"/>
    <hyperlink ref="AV3" r:id="rId4"/>
    <hyperlink ref="AY3" r:id="rId5"/>
    <hyperlink ref="AZ3" r:id="rId6"/>
    <hyperlink ref="BA3" r:id="rId7"/>
    <hyperlink ref="BB3" r:id="rId8"/>
    <hyperlink ref="B4" r:id="rId9"/>
    <hyperlink ref="AT4" r:id="rId10"/>
    <hyperlink ref="AW4" r:id="rId11"/>
    <hyperlink ref="AY4" r:id="rId12"/>
    <hyperlink ref="AZ4" r:id="rId13"/>
    <hyperlink ref="BA4" r:id="rId14"/>
    <hyperlink ref="BB4" r:id="rId15"/>
    <hyperlink ref="BC4" r:id="rId16"/>
    <hyperlink ref="B5" r:id="rId17"/>
    <hyperlink ref="AT5" r:id="rId18"/>
    <hyperlink ref="AW5" r:id="rId19"/>
    <hyperlink ref="AY5" r:id="rId20"/>
    <hyperlink ref="AZ5" r:id="rId21"/>
    <hyperlink ref="BA5" r:id="rId22"/>
    <hyperlink ref="BB5" r:id="rId23"/>
    <hyperlink ref="B6" r:id="rId24"/>
    <hyperlink ref="AT6" r:id="rId25"/>
    <hyperlink ref="AY6" r:id="rId26"/>
    <hyperlink ref="BB6" r:id="rId27"/>
    <hyperlink ref="B7" r:id="rId28"/>
    <hyperlink ref="AT7" r:id="rId29"/>
    <hyperlink ref="AV7" r:id="rId30"/>
    <hyperlink ref="AY7" r:id="rId31"/>
    <hyperlink ref="BB7" r:id="rId32"/>
    <hyperlink ref="B8" r:id="rId33"/>
    <hyperlink ref="AT8" r:id="rId34"/>
    <hyperlink ref="AY8" r:id="rId35"/>
    <hyperlink ref="BB8" r:id="rId36"/>
    <hyperlink ref="B9" r:id="rId37"/>
    <hyperlink ref="AT9" r:id="rId38"/>
    <hyperlink ref="AY9" r:id="rId39"/>
    <hyperlink ref="BB9" r:id="rId40"/>
    <hyperlink ref="B10" r:id="rId41"/>
    <hyperlink ref="AT10" r:id="rId42"/>
    <hyperlink ref="AV10" r:id="rId43"/>
    <hyperlink ref="AY10" r:id="rId44"/>
    <hyperlink ref="BB10" r:id="rId45"/>
    <hyperlink ref="B11" r:id="rId46"/>
    <hyperlink ref="AY11" r:id="rId47"/>
    <hyperlink ref="BB11" r:id="rId48"/>
    <hyperlink ref="B12" r:id="rId49"/>
    <hyperlink ref="AT12" r:id="rId50"/>
    <hyperlink ref="AW12" r:id="rId51"/>
    <hyperlink ref="AY12" r:id="rId52"/>
    <hyperlink ref="BA12" r:id="rId53"/>
    <hyperlink ref="BB12" r:id="rId54"/>
    <hyperlink ref="B13" r:id="rId55"/>
    <hyperlink ref="AT13" r:id="rId56"/>
    <hyperlink ref="AW13" r:id="rId57"/>
    <hyperlink ref="AY13" r:id="rId58"/>
    <hyperlink ref="BA13" r:id="rId59"/>
    <hyperlink ref="BB13" r:id="rId60"/>
    <hyperlink ref="B14" r:id="rId61"/>
    <hyperlink ref="AT14" r:id="rId62"/>
    <hyperlink ref="AW14" r:id="rId63"/>
    <hyperlink ref="AY14" r:id="rId64"/>
    <hyperlink ref="BA14" r:id="rId65"/>
    <hyperlink ref="BB14" r:id="rId66"/>
    <hyperlink ref="B15" r:id="rId67"/>
    <hyperlink ref="AT15" r:id="rId68"/>
    <hyperlink ref="AW15" r:id="rId69"/>
    <hyperlink ref="AY15" r:id="rId70"/>
    <hyperlink ref="BA15" r:id="rId71"/>
    <hyperlink ref="BB15" r:id="rId72"/>
    <hyperlink ref="B16" r:id="rId73"/>
    <hyperlink ref="AT16" r:id="rId74"/>
    <hyperlink ref="AW16" r:id="rId75"/>
    <hyperlink ref="AY16" r:id="rId76"/>
    <hyperlink ref="BA16" r:id="rId77"/>
    <hyperlink ref="BB16" r:id="rId78"/>
    <hyperlink ref="B17" r:id="rId79"/>
    <hyperlink ref="AT17" r:id="rId80"/>
    <hyperlink ref="AW17" r:id="rId81"/>
    <hyperlink ref="AY17" r:id="rId82"/>
    <hyperlink ref="AZ17" r:id="rId83"/>
    <hyperlink ref="BA17" r:id="rId84"/>
    <hyperlink ref="BB17" r:id="rId85"/>
    <hyperlink ref="B18" r:id="rId86"/>
    <hyperlink ref="B19" r:id="rId87"/>
    <hyperlink ref="B20" r:id="rId88"/>
    <hyperlink ref="B21" r:id="rId89"/>
    <hyperlink ref="B22" r:id="rId90"/>
    <hyperlink ref="AT22" r:id="rId91"/>
    <hyperlink ref="AY22" r:id="rId92"/>
    <hyperlink ref="AZ22" r:id="rId93"/>
    <hyperlink ref="BA22" r:id="rId94"/>
    <hyperlink ref="BB22" r:id="rId95"/>
    <hyperlink ref="B23" r:id="rId96"/>
    <hyperlink ref="AT23" r:id="rId97"/>
    <hyperlink ref="AY23" r:id="rId98"/>
    <hyperlink ref="BB23" r:id="rId99"/>
    <hyperlink ref="B24" r:id="rId100"/>
    <hyperlink ref="AT24" r:id="rId101"/>
    <hyperlink ref="AY24" r:id="rId102"/>
    <hyperlink ref="BB24" r:id="rId103"/>
    <hyperlink ref="B25" r:id="rId104"/>
    <hyperlink ref="AT25" r:id="rId105"/>
    <hyperlink ref="AY25" r:id="rId106"/>
    <hyperlink ref="BB25" r:id="rId107"/>
    <hyperlink ref="B26" r:id="rId108"/>
    <hyperlink ref="AT26" r:id="rId109"/>
    <hyperlink ref="AY26" r:id="rId110"/>
    <hyperlink ref="BB26" r:id="rId111"/>
    <hyperlink ref="B27" r:id="rId112"/>
    <hyperlink ref="AT27" r:id="rId113"/>
    <hyperlink ref="AY27" r:id="rId114"/>
    <hyperlink ref="BB27" r:id="rId115"/>
    <hyperlink ref="B28" r:id="rId116"/>
    <hyperlink ref="AT28" r:id="rId117"/>
    <hyperlink ref="AU28" r:id="rId118"/>
    <hyperlink ref="AW28" r:id="rId119"/>
    <hyperlink ref="AY28" r:id="rId120"/>
    <hyperlink ref="BA28" r:id="rId121"/>
    <hyperlink ref="BB28" r:id="rId122"/>
    <hyperlink ref="B29" r:id="rId123"/>
    <hyperlink ref="AT29" r:id="rId124"/>
    <hyperlink ref="AU29" r:id="rId125"/>
    <hyperlink ref="AW29" r:id="rId126"/>
    <hyperlink ref="AY29" r:id="rId127"/>
    <hyperlink ref="BA29" r:id="rId128"/>
    <hyperlink ref="BB29" r:id="rId129"/>
    <hyperlink ref="B30" r:id="rId130"/>
    <hyperlink ref="AT30" r:id="rId131"/>
    <hyperlink ref="AU30" r:id="rId132"/>
    <hyperlink ref="AY30" r:id="rId133"/>
    <hyperlink ref="BA30" r:id="rId134"/>
    <hyperlink ref="BB30" r:id="rId135"/>
    <hyperlink ref="B31" r:id="rId136"/>
    <hyperlink ref="AT31" r:id="rId137"/>
    <hyperlink ref="AY31" r:id="rId138"/>
    <hyperlink ref="BA31" r:id="rId139"/>
    <hyperlink ref="BB31" r:id="rId140"/>
    <hyperlink ref="B32" r:id="rId141"/>
    <hyperlink ref="AT32" r:id="rId142"/>
    <hyperlink ref="AU32" r:id="rId143"/>
    <hyperlink ref="AY32" r:id="rId144"/>
    <hyperlink ref="BA32" r:id="rId145"/>
    <hyperlink ref="BB32" r:id="rId146"/>
    <hyperlink ref="B33" r:id="rId147"/>
    <hyperlink ref="AT33" r:id="rId148"/>
    <hyperlink ref="AY33" r:id="rId149"/>
    <hyperlink ref="BA33" r:id="rId150"/>
    <hyperlink ref="BB33" r:id="rId151"/>
    <hyperlink ref="B34" r:id="rId152"/>
    <hyperlink ref="AT34" r:id="rId153"/>
    <hyperlink ref="AY34" r:id="rId154"/>
    <hyperlink ref="BB34" r:id="rId155"/>
    <hyperlink ref="B35" r:id="rId156"/>
    <hyperlink ref="AT35" r:id="rId157"/>
    <hyperlink ref="AY35" r:id="rId158"/>
    <hyperlink ref="BB35" r:id="rId159"/>
    <hyperlink ref="B36" r:id="rId160"/>
    <hyperlink ref="AT36" r:id="rId161"/>
    <hyperlink ref="AY36" r:id="rId162"/>
    <hyperlink ref="BB36" r:id="rId163"/>
    <hyperlink ref="B37" r:id="rId164"/>
    <hyperlink ref="AT37" r:id="rId165"/>
    <hyperlink ref="AY37" r:id="rId166"/>
    <hyperlink ref="BB37" r:id="rId167"/>
    <hyperlink ref="B38" r:id="rId168"/>
    <hyperlink ref="AT38" r:id="rId169"/>
    <hyperlink ref="AY38" r:id="rId170"/>
    <hyperlink ref="BB38" r:id="rId171"/>
    <hyperlink ref="B39" r:id="rId172"/>
    <hyperlink ref="AT39" r:id="rId173"/>
    <hyperlink ref="AY39" r:id="rId174"/>
    <hyperlink ref="BB39" r:id="rId175"/>
    <hyperlink ref="B40" r:id="rId176"/>
    <hyperlink ref="AT40" r:id="rId177"/>
    <hyperlink ref="AY40" r:id="rId178"/>
    <hyperlink ref="BB40" r:id="rId179"/>
    <hyperlink ref="B41" r:id="rId180"/>
    <hyperlink ref="AT41" r:id="rId181"/>
    <hyperlink ref="AU41" r:id="rId182"/>
    <hyperlink ref="AY41" r:id="rId183"/>
    <hyperlink ref="BA41" r:id="rId184"/>
    <hyperlink ref="BB41" r:id="rId185"/>
    <hyperlink ref="B42" r:id="rId186"/>
    <hyperlink ref="AT42" r:id="rId187"/>
    <hyperlink ref="AU42" r:id="rId188"/>
    <hyperlink ref="AY42" r:id="rId189"/>
    <hyperlink ref="BB42" r:id="rId190"/>
    <hyperlink ref="B43" r:id="rId191"/>
    <hyperlink ref="AT43" r:id="rId192"/>
    <hyperlink ref="AU43" r:id="rId193"/>
    <hyperlink ref="AY43" r:id="rId194"/>
    <hyperlink ref="BB43" r:id="rId195"/>
    <hyperlink ref="B44" r:id="rId196"/>
    <hyperlink ref="AT44" r:id="rId197"/>
    <hyperlink ref="AU44" r:id="rId198"/>
    <hyperlink ref="AY44" r:id="rId199"/>
    <hyperlink ref="BB44" r:id="rId200"/>
    <hyperlink ref="B45" r:id="rId201"/>
    <hyperlink ref="AT45" r:id="rId202"/>
    <hyperlink ref="AU45" r:id="rId203"/>
    <hyperlink ref="AY45" r:id="rId204"/>
    <hyperlink ref="BB45" r:id="rId205"/>
    <hyperlink ref="B46" r:id="rId206"/>
    <hyperlink ref="AT46" r:id="rId207"/>
    <hyperlink ref="AU46" r:id="rId208"/>
    <hyperlink ref="AY46" r:id="rId209"/>
    <hyperlink ref="BB46" r:id="rId210"/>
    <hyperlink ref="B47" r:id="rId211"/>
    <hyperlink ref="AT47" r:id="rId212"/>
    <hyperlink ref="AU47" r:id="rId213"/>
    <hyperlink ref="AY47" r:id="rId214"/>
    <hyperlink ref="BB47" r:id="rId215"/>
    <hyperlink ref="B48" r:id="rId216"/>
    <hyperlink ref="AT48" r:id="rId217"/>
    <hyperlink ref="AU48" r:id="rId218"/>
    <hyperlink ref="AY48" r:id="rId219"/>
    <hyperlink ref="BB48" r:id="rId220"/>
    <hyperlink ref="B49" r:id="rId221"/>
    <hyperlink ref="AT49" r:id="rId222"/>
    <hyperlink ref="AU49" r:id="rId223"/>
    <hyperlink ref="AY49" r:id="rId224"/>
    <hyperlink ref="BB49" r:id="rId225"/>
    <hyperlink ref="B50" r:id="rId226"/>
    <hyperlink ref="B51" r:id="rId227"/>
    <hyperlink ref="AT51" r:id="rId228"/>
    <hyperlink ref="AU51" r:id="rId229"/>
    <hyperlink ref="AY51" r:id="rId230"/>
    <hyperlink ref="BB51" r:id="rId231"/>
    <hyperlink ref="B52" r:id="rId232"/>
    <hyperlink ref="AT52" r:id="rId233"/>
    <hyperlink ref="AU52" r:id="rId234"/>
    <hyperlink ref="AY52" r:id="rId235"/>
    <hyperlink ref="BB52" r:id="rId236"/>
    <hyperlink ref="B53" r:id="rId237"/>
    <hyperlink ref="AT53" r:id="rId238"/>
    <hyperlink ref="AU53" r:id="rId239"/>
    <hyperlink ref="AY53" r:id="rId240"/>
    <hyperlink ref="BB53" r:id="rId241"/>
    <hyperlink ref="B54" r:id="rId242"/>
    <hyperlink ref="AT54" r:id="rId243"/>
    <hyperlink ref="AU54" r:id="rId244"/>
    <hyperlink ref="AY54" r:id="rId245"/>
    <hyperlink ref="BB54" r:id="rId246"/>
    <hyperlink ref="B55" r:id="rId247"/>
    <hyperlink ref="AT55" r:id="rId248"/>
    <hyperlink ref="AY55" r:id="rId249"/>
    <hyperlink ref="BB55" r:id="rId250"/>
    <hyperlink ref="B56" r:id="rId251"/>
    <hyperlink ref="AT56" r:id="rId252"/>
    <hyperlink ref="AU56" r:id="rId253"/>
    <hyperlink ref="AY56" r:id="rId254"/>
    <hyperlink ref="BB56" r:id="rId255"/>
    <hyperlink ref="B57" r:id="rId256"/>
    <hyperlink ref="AT57" r:id="rId257"/>
    <hyperlink ref="AU57" r:id="rId258"/>
    <hyperlink ref="AY57" r:id="rId259"/>
    <hyperlink ref="BA57" r:id="rId260"/>
    <hyperlink ref="BB57" r:id="rId261"/>
    <hyperlink ref="B58" r:id="rId262"/>
    <hyperlink ref="AT58" r:id="rId263"/>
    <hyperlink ref="AY58" r:id="rId264"/>
    <hyperlink ref="BB58" r:id="rId265"/>
    <hyperlink ref="B59" r:id="rId266"/>
    <hyperlink ref="AT59" r:id="rId267"/>
    <hyperlink ref="AU59" r:id="rId268"/>
    <hyperlink ref="AY59" r:id="rId269"/>
    <hyperlink ref="BB59" r:id="rId270"/>
    <hyperlink ref="B60" r:id="rId271"/>
    <hyperlink ref="AT60" r:id="rId272"/>
    <hyperlink ref="AU60" r:id="rId273"/>
    <hyperlink ref="AY60" r:id="rId274"/>
    <hyperlink ref="BB60" r:id="rId275"/>
    <hyperlink ref="B61" r:id="rId276"/>
    <hyperlink ref="AT61" r:id="rId277"/>
    <hyperlink ref="AU61" r:id="rId278"/>
    <hyperlink ref="AY61" r:id="rId279"/>
    <hyperlink ref="BB61" r:id="rId280"/>
    <hyperlink ref="B62" r:id="rId281"/>
    <hyperlink ref="AT62" r:id="rId282"/>
    <hyperlink ref="AU62" r:id="rId283"/>
    <hyperlink ref="AY62" r:id="rId284"/>
    <hyperlink ref="BB62" r:id="rId285"/>
    <hyperlink ref="B63" r:id="rId286"/>
    <hyperlink ref="AT63" r:id="rId287"/>
    <hyperlink ref="AU63" r:id="rId288"/>
    <hyperlink ref="AY63" r:id="rId289"/>
    <hyperlink ref="BB63" r:id="rId290"/>
    <hyperlink ref="B64" r:id="rId291"/>
    <hyperlink ref="AT64" r:id="rId292"/>
    <hyperlink ref="AU64" r:id="rId293"/>
    <hyperlink ref="AY64" r:id="rId294"/>
    <hyperlink ref="BB64" r:id="rId295"/>
    <hyperlink ref="B65" r:id="rId296"/>
    <hyperlink ref="AT65" r:id="rId297"/>
    <hyperlink ref="AY65" r:id="rId298"/>
    <hyperlink ref="BB65" r:id="rId299"/>
    <hyperlink ref="B66" r:id="rId300"/>
    <hyperlink ref="AT66" r:id="rId301"/>
    <hyperlink ref="AY66" r:id="rId302"/>
    <hyperlink ref="BB66" r:id="rId303"/>
    <hyperlink ref="B67" r:id="rId304"/>
    <hyperlink ref="AT67" r:id="rId305"/>
    <hyperlink ref="AU67" r:id="rId306"/>
    <hyperlink ref="AY67" r:id="rId307"/>
    <hyperlink ref="BB67" r:id="rId308"/>
    <hyperlink ref="B68" r:id="rId309"/>
    <hyperlink ref="AT68" r:id="rId310"/>
    <hyperlink ref="AU68" r:id="rId311"/>
    <hyperlink ref="AY68" r:id="rId312"/>
    <hyperlink ref="BB68" r:id="rId313"/>
    <hyperlink ref="B69" r:id="rId314"/>
    <hyperlink ref="B70" r:id="rId315"/>
    <hyperlink ref="AT70" r:id="rId316"/>
    <hyperlink ref="AY70" r:id="rId317"/>
    <hyperlink ref="BB70" r:id="rId318"/>
    <hyperlink ref="B71" r:id="rId319"/>
    <hyperlink ref="AT71" r:id="rId320"/>
    <hyperlink ref="AY71" r:id="rId321"/>
    <hyperlink ref="BB71" r:id="rId322"/>
    <hyperlink ref="B72" r:id="rId323"/>
    <hyperlink ref="AT72" r:id="rId324"/>
    <hyperlink ref="AY72" r:id="rId325"/>
    <hyperlink ref="BB72" r:id="rId326"/>
    <hyperlink ref="B73" r:id="rId327"/>
    <hyperlink ref="AT73" r:id="rId328"/>
    <hyperlink ref="AY73" r:id="rId329"/>
    <hyperlink ref="BB73" r:id="rId330"/>
    <hyperlink ref="B74" r:id="rId331"/>
    <hyperlink ref="AT74" r:id="rId332"/>
    <hyperlink ref="AY74" r:id="rId333"/>
    <hyperlink ref="BB74" r:id="rId334"/>
    <hyperlink ref="B75" r:id="rId335"/>
    <hyperlink ref="AT75" r:id="rId336"/>
    <hyperlink ref="AY75" r:id="rId337"/>
    <hyperlink ref="BB75" r:id="rId338"/>
    <hyperlink ref="B76" r:id="rId339"/>
    <hyperlink ref="AT76" r:id="rId340"/>
    <hyperlink ref="AY76" r:id="rId341" location="careers"/>
    <hyperlink ref="BB76" r:id="rId342"/>
    <hyperlink ref="B77" r:id="rId343"/>
    <hyperlink ref="AT77" r:id="rId344"/>
    <hyperlink ref="AY77" r:id="rId345"/>
    <hyperlink ref="BB77" r:id="rId346"/>
    <hyperlink ref="B78" r:id="rId347"/>
    <hyperlink ref="AT78" r:id="rId348"/>
    <hyperlink ref="AY78" r:id="rId349"/>
    <hyperlink ref="BB78" r:id="rId350"/>
    <hyperlink ref="B79" r:id="rId351"/>
    <hyperlink ref="AT79" r:id="rId352"/>
    <hyperlink ref="AY79" r:id="rId353"/>
    <hyperlink ref="BB79" r:id="rId354"/>
    <hyperlink ref="B80" r:id="rId355"/>
    <hyperlink ref="AT80" r:id="rId356"/>
    <hyperlink ref="AY80" r:id="rId357"/>
    <hyperlink ref="BB80" r:id="rId358"/>
    <hyperlink ref="B81" r:id="rId359"/>
    <hyperlink ref="AT81" r:id="rId360"/>
    <hyperlink ref="AY81" r:id="rId361"/>
    <hyperlink ref="BB81" r:id="rId362"/>
    <hyperlink ref="B82" r:id="rId363"/>
    <hyperlink ref="AT82" r:id="rId364"/>
    <hyperlink ref="AY82" r:id="rId365"/>
    <hyperlink ref="BB82" r:id="rId366"/>
    <hyperlink ref="B83" r:id="rId367"/>
    <hyperlink ref="AT83" r:id="rId368"/>
    <hyperlink ref="AY83" r:id="rId369"/>
    <hyperlink ref="BB83" r:id="rId370"/>
    <hyperlink ref="B84" r:id="rId371"/>
    <hyperlink ref="AT84" r:id="rId372"/>
    <hyperlink ref="AY84" r:id="rId373"/>
    <hyperlink ref="BB84" r:id="rId374"/>
    <hyperlink ref="B85" r:id="rId375"/>
    <hyperlink ref="AT85" r:id="rId376"/>
    <hyperlink ref="AY85" r:id="rId377"/>
    <hyperlink ref="BB85" r:id="rId378"/>
    <hyperlink ref="B86" r:id="rId379"/>
    <hyperlink ref="AT86" r:id="rId380"/>
    <hyperlink ref="AY86" r:id="rId381"/>
    <hyperlink ref="BB86" r:id="rId382"/>
    <hyperlink ref="B87" r:id="rId383"/>
    <hyperlink ref="AT87" r:id="rId384"/>
    <hyperlink ref="AY87" r:id="rId385"/>
    <hyperlink ref="BB87" r:id="rId386"/>
    <hyperlink ref="B88" r:id="rId387"/>
    <hyperlink ref="AT88" r:id="rId388"/>
    <hyperlink ref="AY88" r:id="rId389"/>
    <hyperlink ref="BB88" r:id="rId390"/>
    <hyperlink ref="B89" r:id="rId391"/>
    <hyperlink ref="AT89" r:id="rId392"/>
    <hyperlink ref="AY89" r:id="rId393" location="jobs"/>
    <hyperlink ref="BB89" r:id="rId394"/>
    <hyperlink ref="B90" r:id="rId395"/>
    <hyperlink ref="AT90" r:id="rId396"/>
    <hyperlink ref="AY90" r:id="rId397"/>
    <hyperlink ref="BB90" r:id="rId398"/>
    <hyperlink ref="BC90" r:id="rId399"/>
    <hyperlink ref="B91" r:id="rId400"/>
    <hyperlink ref="AT91" r:id="rId401"/>
    <hyperlink ref="AY91" r:id="rId402"/>
    <hyperlink ref="BA91" r:id="rId403"/>
    <hyperlink ref="BB91" r:id="rId404"/>
    <hyperlink ref="B92" r:id="rId405"/>
    <hyperlink ref="B93" r:id="rId406"/>
    <hyperlink ref="AT93" r:id="rId407"/>
    <hyperlink ref="AY93" r:id="rId408"/>
    <hyperlink ref="BB93" r:id="rId409"/>
    <hyperlink ref="B94" r:id="rId410"/>
    <hyperlink ref="AT94" r:id="rId411"/>
    <hyperlink ref="AY94" r:id="rId412"/>
    <hyperlink ref="BB94" r:id="rId413"/>
    <hyperlink ref="B95" r:id="rId414"/>
    <hyperlink ref="AT95" r:id="rId415"/>
    <hyperlink ref="AY95" r:id="rId416"/>
    <hyperlink ref="BB95" r:id="rId417"/>
    <hyperlink ref="B96" r:id="rId418"/>
    <hyperlink ref="AT96" r:id="rId419"/>
    <hyperlink ref="AY96" r:id="rId420"/>
    <hyperlink ref="BB96" r:id="rId421"/>
    <hyperlink ref="B97" r:id="rId422"/>
    <hyperlink ref="AT97" r:id="rId423"/>
    <hyperlink ref="AY97" r:id="rId424"/>
    <hyperlink ref="BA97" r:id="rId425"/>
    <hyperlink ref="BB97" r:id="rId426"/>
    <hyperlink ref="B98" r:id="rId427"/>
    <hyperlink ref="AT98" r:id="rId428"/>
    <hyperlink ref="AY98" r:id="rId429"/>
    <hyperlink ref="BB98" r:id="rId430"/>
    <hyperlink ref="B99" r:id="rId431"/>
    <hyperlink ref="AT99" r:id="rId432"/>
    <hyperlink ref="AY99" r:id="rId433"/>
    <hyperlink ref="BB99" r:id="rId434"/>
    <hyperlink ref="B100" r:id="rId435"/>
    <hyperlink ref="AT100" r:id="rId436"/>
    <hyperlink ref="AY100" r:id="rId437"/>
    <hyperlink ref="BB100" r:id="rId438"/>
    <hyperlink ref="B101" r:id="rId439"/>
    <hyperlink ref="AT101" r:id="rId440"/>
    <hyperlink ref="AY101" r:id="rId441"/>
    <hyperlink ref="BA101" r:id="rId442"/>
    <hyperlink ref="BB101" r:id="rId44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FormatPr defaultRowHeight="15"/>
  <sheetData>
    <row r="1" spans="1:15">
      <c r="A1" s="1" t="s">
        <v>732</v>
      </c>
      <c r="B1" s="1" t="s">
        <v>733</v>
      </c>
      <c r="C1" s="1" t="s">
        <v>734</v>
      </c>
      <c r="D1" s="1" t="s">
        <v>735</v>
      </c>
      <c r="E1" s="1" t="s">
        <v>736</v>
      </c>
      <c r="F1" s="1" t="s">
        <v>737</v>
      </c>
      <c r="G1" s="1" t="s">
        <v>738</v>
      </c>
      <c r="H1" s="1" t="s">
        <v>739</v>
      </c>
      <c r="I1" s="1" t="s">
        <v>740</v>
      </c>
      <c r="J1" s="1" t="s">
        <v>741</v>
      </c>
      <c r="K1" s="1" t="s">
        <v>742</v>
      </c>
      <c r="L1" s="1" t="s">
        <v>743</v>
      </c>
      <c r="M1" s="1" t="s">
        <v>744</v>
      </c>
      <c r="N1" s="1" t="s">
        <v>745</v>
      </c>
      <c r="O1" s="1" t="s">
        <v>746</v>
      </c>
    </row>
    <row r="2" spans="1:15">
      <c r="A2" t="s">
        <v>257</v>
      </c>
      <c r="B2" t="s">
        <v>268</v>
      </c>
      <c r="C2" t="s">
        <v>271</v>
      </c>
      <c r="D2" t="s">
        <v>748</v>
      </c>
      <c r="E2" t="s">
        <v>276</v>
      </c>
      <c r="F2" t="s">
        <v>283</v>
      </c>
      <c r="G2" t="s">
        <v>283</v>
      </c>
      <c r="H2" t="s">
        <v>750</v>
      </c>
      <c r="I2" t="s">
        <v>283</v>
      </c>
      <c r="J2" t="s">
        <v>294</v>
      </c>
      <c r="K2" t="s">
        <v>283</v>
      </c>
      <c r="L2" t="s">
        <v>283</v>
      </c>
      <c r="M2" t="s">
        <v>283</v>
      </c>
      <c r="N2" t="s">
        <v>283</v>
      </c>
      <c r="O2" t="s">
        <v>283</v>
      </c>
    </row>
    <row r="3" spans="1:15">
      <c r="A3" t="s">
        <v>255</v>
      </c>
      <c r="B3" t="s">
        <v>266</v>
      </c>
      <c r="C3" t="s">
        <v>270</v>
      </c>
      <c r="D3" t="s">
        <v>275</v>
      </c>
      <c r="E3" t="s">
        <v>277</v>
      </c>
      <c r="F3" t="s">
        <v>279</v>
      </c>
      <c r="G3" t="s">
        <v>282</v>
      </c>
      <c r="H3" t="s">
        <v>286</v>
      </c>
      <c r="I3" t="s">
        <v>290</v>
      </c>
      <c r="J3" t="s">
        <v>291</v>
      </c>
      <c r="K3" t="s">
        <v>295</v>
      </c>
      <c r="L3" t="s">
        <v>298</v>
      </c>
      <c r="M3" t="s">
        <v>301</v>
      </c>
      <c r="N3" t="s">
        <v>304</v>
      </c>
      <c r="O3" t="s">
        <v>307</v>
      </c>
    </row>
    <row r="4" spans="1:15">
      <c r="A4" t="s">
        <v>254</v>
      </c>
      <c r="B4" t="s">
        <v>265</v>
      </c>
      <c r="C4" t="s">
        <v>272</v>
      </c>
      <c r="D4" t="s">
        <v>274</v>
      </c>
      <c r="F4" t="s">
        <v>278</v>
      </c>
      <c r="G4" t="s">
        <v>281</v>
      </c>
      <c r="H4" t="s">
        <v>285</v>
      </c>
      <c r="I4" t="s">
        <v>289</v>
      </c>
      <c r="J4" t="s">
        <v>292</v>
      </c>
      <c r="K4" t="s">
        <v>296</v>
      </c>
      <c r="L4" t="s">
        <v>297</v>
      </c>
      <c r="M4" t="s">
        <v>299</v>
      </c>
      <c r="N4" t="s">
        <v>302</v>
      </c>
      <c r="O4" t="s">
        <v>305</v>
      </c>
    </row>
    <row r="5" spans="1:15">
      <c r="A5" t="s">
        <v>260</v>
      </c>
      <c r="B5" t="s">
        <v>264</v>
      </c>
      <c r="C5" t="s">
        <v>269</v>
      </c>
      <c r="D5" t="s">
        <v>273</v>
      </c>
      <c r="F5" t="s">
        <v>749</v>
      </c>
      <c r="G5" t="s">
        <v>280</v>
      </c>
      <c r="H5" t="s">
        <v>284</v>
      </c>
      <c r="I5" t="s">
        <v>287</v>
      </c>
      <c r="J5" t="s">
        <v>293</v>
      </c>
      <c r="M5" t="s">
        <v>300</v>
      </c>
      <c r="N5" t="s">
        <v>303</v>
      </c>
      <c r="O5" t="s">
        <v>306</v>
      </c>
    </row>
    <row r="6" spans="1:15">
      <c r="A6" t="s">
        <v>252</v>
      </c>
      <c r="B6" t="s">
        <v>263</v>
      </c>
      <c r="H6" t="s">
        <v>751</v>
      </c>
      <c r="I6" t="s">
        <v>288</v>
      </c>
    </row>
    <row r="7" spans="1:15">
      <c r="A7" t="s">
        <v>253</v>
      </c>
      <c r="B7" t="s">
        <v>262</v>
      </c>
      <c r="H7" t="s">
        <v>752</v>
      </c>
    </row>
    <row r="8" spans="1:15">
      <c r="A8" t="s">
        <v>747</v>
      </c>
    </row>
    <row r="9" spans="1:15">
      <c r="A9" t="s">
        <v>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sheetFormatPr defaultRowHeight="15"/>
  <sheetData>
    <row r="1" spans="1:23">
      <c r="A1" t="s">
        <v>753</v>
      </c>
      <c r="B1" t="s">
        <v>754</v>
      </c>
      <c r="D1" t="s">
        <v>753</v>
      </c>
      <c r="E1" t="s">
        <v>754</v>
      </c>
      <c r="G1" t="s">
        <v>753</v>
      </c>
      <c r="H1" t="s">
        <v>754</v>
      </c>
      <c r="J1" t="s">
        <v>753</v>
      </c>
      <c r="K1" t="s">
        <v>754</v>
      </c>
      <c r="M1" t="s">
        <v>753</v>
      </c>
      <c r="N1" t="s">
        <v>754</v>
      </c>
      <c r="P1" t="s">
        <v>753</v>
      </c>
      <c r="Q1" t="s">
        <v>754</v>
      </c>
      <c r="S1" t="s">
        <v>753</v>
      </c>
      <c r="T1" t="s">
        <v>754</v>
      </c>
      <c r="V1" t="s">
        <v>753</v>
      </c>
      <c r="W1" t="s">
        <v>754</v>
      </c>
    </row>
    <row r="2" spans="1:23">
      <c r="A2" t="s">
        <v>271</v>
      </c>
      <c r="B2">
        <v>3</v>
      </c>
      <c r="D2" t="s">
        <v>276</v>
      </c>
      <c r="E2">
        <v>8</v>
      </c>
      <c r="G2" t="s">
        <v>283</v>
      </c>
      <c r="H2">
        <v>0</v>
      </c>
      <c r="J2" t="s">
        <v>283</v>
      </c>
      <c r="K2">
        <v>0</v>
      </c>
      <c r="M2" t="s">
        <v>283</v>
      </c>
      <c r="N2">
        <v>0</v>
      </c>
      <c r="P2" t="s">
        <v>283</v>
      </c>
      <c r="Q2">
        <v>0</v>
      </c>
      <c r="S2" t="s">
        <v>283</v>
      </c>
      <c r="T2">
        <v>0</v>
      </c>
      <c r="V2" t="s">
        <v>283</v>
      </c>
      <c r="W2">
        <v>0</v>
      </c>
    </row>
    <row r="3" spans="1:23">
      <c r="A3" t="s">
        <v>270</v>
      </c>
      <c r="B3">
        <v>5</v>
      </c>
      <c r="D3" t="s">
        <v>277</v>
      </c>
      <c r="E3">
        <v>0</v>
      </c>
      <c r="G3" t="s">
        <v>279</v>
      </c>
      <c r="H3">
        <v>2</v>
      </c>
      <c r="J3" t="s">
        <v>304</v>
      </c>
      <c r="K3">
        <v>2</v>
      </c>
      <c r="M3" t="s">
        <v>307</v>
      </c>
      <c r="N3">
        <v>2</v>
      </c>
      <c r="P3" t="s">
        <v>282</v>
      </c>
      <c r="Q3">
        <v>3</v>
      </c>
      <c r="S3" t="s">
        <v>295</v>
      </c>
      <c r="T3">
        <v>3</v>
      </c>
      <c r="V3" t="s">
        <v>298</v>
      </c>
      <c r="W3">
        <v>2</v>
      </c>
    </row>
    <row r="4" spans="1:23">
      <c r="A4" t="s">
        <v>272</v>
      </c>
      <c r="B4">
        <v>6</v>
      </c>
      <c r="G4" t="s">
        <v>278</v>
      </c>
      <c r="H4">
        <v>4</v>
      </c>
      <c r="J4" t="s">
        <v>302</v>
      </c>
      <c r="K4">
        <v>3</v>
      </c>
      <c r="M4" t="s">
        <v>305</v>
      </c>
      <c r="N4">
        <v>4</v>
      </c>
      <c r="P4" t="s">
        <v>281</v>
      </c>
      <c r="Q4">
        <v>5</v>
      </c>
      <c r="S4" t="s">
        <v>296</v>
      </c>
      <c r="T4">
        <v>6</v>
      </c>
      <c r="V4" t="s">
        <v>297</v>
      </c>
      <c r="W4">
        <v>4</v>
      </c>
    </row>
    <row r="5" spans="1:23">
      <c r="A5" t="s">
        <v>269</v>
      </c>
      <c r="B5">
        <v>7</v>
      </c>
      <c r="G5" t="s">
        <v>749</v>
      </c>
      <c r="H5">
        <v>6</v>
      </c>
      <c r="J5" t="s">
        <v>303</v>
      </c>
      <c r="K5">
        <v>5</v>
      </c>
      <c r="M5" t="s">
        <v>306</v>
      </c>
      <c r="N5">
        <v>6</v>
      </c>
      <c r="P5" t="s">
        <v>280</v>
      </c>
      <c r="Q5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755</v>
      </c>
      <c r="B1" t="s">
        <v>756</v>
      </c>
    </row>
    <row r="3" spans="1:2">
      <c r="A3" t="s">
        <v>757</v>
      </c>
      <c r="B3" cm="1">
        <f t="array" ref="B3">IF(B1="", INDEX(Presets!B2:F2, MATCH(A3, Presets!B1:F1,0)), _xlfn.XLOOKUP(B1, Presets!$A$2:$A$5, Presets!$B$2:$F$5, , 0))</f>
        <v>0</v>
      </c>
    </row>
    <row r="4" spans="1:2">
      <c r="A4" t="s">
        <v>758</v>
      </c>
      <c r="B4" cm="1">
        <f t="array" ref="B4">IF(B1="", INDEX(Presets!B2:F2, MATCH(A4, Presets!B1:F1,0)), _xlfn.XLOOKUP(B1, Presets!$A$2:$A$5, Presets!$B$2:$F$5, , 0))</f>
        <v>0</v>
      </c>
    </row>
    <row r="5" spans="1:2">
      <c r="A5" t="s">
        <v>759</v>
      </c>
      <c r="B5" cm="1">
        <f t="array" ref="B5">IF(B1="", INDEX(Presets!B2:F2, MATCH(A5, Presets!B1:F1,0)), _xlfn.XLOOKUP(B1, Presets!$A$2:$A$5, Presets!$B$2:$F$5, , 0))</f>
        <v>0</v>
      </c>
    </row>
    <row r="6" spans="1:2">
      <c r="A6" t="s">
        <v>760</v>
      </c>
      <c r="B6" cm="1">
        <f t="array" ref="B6">IF(B1="", INDEX(Presets!B2:F2, MATCH(A6, Presets!B1:F1,0)), _xlfn.XLOOKUP(B1, Presets!$A$2:$A$5, Presets!$B$2:$F$5, , 0))</f>
        <v>0</v>
      </c>
    </row>
    <row r="7" spans="1:2">
      <c r="A7" t="s">
        <v>761</v>
      </c>
      <c r="B7" cm="1">
        <f t="array" ref="B7">IF(B1="", INDEX(Presets!B2:F2, MATCH(A7, Presets!B1:F1,0)), _xlfn.XLOOKUP(B1, Presets!$A$2:$A$5, Presets!$B$2:$F$5, , 0))</f>
        <v>0</v>
      </c>
    </row>
    <row r="9" spans="1:2">
      <c r="A9" t="s">
        <v>766</v>
      </c>
      <c r="B9">
        <f>SUM(B3:B7)</f>
        <v>0</v>
      </c>
    </row>
  </sheetData>
  <dataValidations count="1">
    <dataValidation type="list" allowBlank="1" showInputMessage="1" showErrorMessage="1" sqref="B1">
      <formula1>Presets!$A$2:$A$5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755</v>
      </c>
      <c r="B1" t="s">
        <v>757</v>
      </c>
      <c r="C1" t="s">
        <v>758</v>
      </c>
      <c r="D1" t="s">
        <v>759</v>
      </c>
      <c r="E1" t="s">
        <v>760</v>
      </c>
      <c r="F1" t="s">
        <v>761</v>
      </c>
    </row>
    <row r="2" spans="1:6">
      <c r="A2" t="s">
        <v>762</v>
      </c>
      <c r="B2">
        <v>30</v>
      </c>
      <c r="C2">
        <v>25</v>
      </c>
      <c r="D2">
        <v>15</v>
      </c>
      <c r="E2">
        <v>15</v>
      </c>
      <c r="F2">
        <v>15</v>
      </c>
    </row>
    <row r="3" spans="1:6">
      <c r="A3" t="s">
        <v>763</v>
      </c>
      <c r="B3">
        <v>25</v>
      </c>
      <c r="C3">
        <v>30</v>
      </c>
      <c r="D3">
        <v>15</v>
      </c>
      <c r="E3">
        <v>15</v>
      </c>
      <c r="F3">
        <v>15</v>
      </c>
    </row>
    <row r="4" spans="1:6">
      <c r="A4" t="s">
        <v>764</v>
      </c>
      <c r="B4">
        <v>35</v>
      </c>
      <c r="C4">
        <v>20</v>
      </c>
      <c r="D4">
        <v>15</v>
      </c>
      <c r="E4">
        <v>20</v>
      </c>
      <c r="F4">
        <v>10</v>
      </c>
    </row>
    <row r="5" spans="1:6">
      <c r="A5" t="s">
        <v>765</v>
      </c>
      <c r="B5">
        <v>20</v>
      </c>
      <c r="C5">
        <v>20</v>
      </c>
      <c r="D5">
        <v>15</v>
      </c>
      <c r="E5">
        <v>10</v>
      </c>
      <c r="F5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t="s">
        <v>767</v>
      </c>
    </row>
    <row r="2" spans="1:3">
      <c r="A2" t="s">
        <v>768</v>
      </c>
    </row>
    <row r="4" spans="1:3">
      <c r="A4" t="s">
        <v>769</v>
      </c>
      <c r="B4" t="s">
        <v>0</v>
      </c>
      <c r="C4" t="s">
        <v>770</v>
      </c>
    </row>
    <row r="5" spans="1:3">
      <c r="A5">
        <v>1</v>
      </c>
      <c r="B5">
        <f>INDEX(Data!$A$2:$A$101, MATCH(LARGE(Data!$AS$2:$AS$101,1), Data!$AS$2:$AS$101, 0))</f>
        <v>0</v>
      </c>
      <c r="C5">
        <f>LARGE(Data!$AS$2:$AS$101,1)</f>
        <v>0</v>
      </c>
    </row>
    <row r="6" spans="1:3">
      <c r="A6">
        <v>2</v>
      </c>
      <c r="B6">
        <f>INDEX(Data!$A$2:$A$101, MATCH(LARGE(Data!$AS$2:$AS$101,2), Data!$AS$2:$AS$101, 0))</f>
        <v>0</v>
      </c>
      <c r="C6">
        <f>LARGE(Data!$AS$2:$AS$101,2)</f>
        <v>0</v>
      </c>
    </row>
    <row r="7" spans="1:3">
      <c r="A7">
        <v>3</v>
      </c>
      <c r="B7">
        <f>INDEX(Data!$A$2:$A$101, MATCH(LARGE(Data!$AS$2:$AS$101,3), Data!$AS$2:$AS$101, 0))</f>
        <v>0</v>
      </c>
      <c r="C7">
        <f>LARGE(Data!$AS$2:$AS$101,3)</f>
        <v>0</v>
      </c>
    </row>
    <row r="8" spans="1:3">
      <c r="A8">
        <v>4</v>
      </c>
      <c r="B8">
        <f>INDEX(Data!$A$2:$A$101, MATCH(LARGE(Data!$AS$2:$AS$101,4), Data!$AS$2:$AS$101, 0))</f>
        <v>0</v>
      </c>
      <c r="C8">
        <f>LARGE(Data!$AS$2:$AS$101,4)</f>
        <v>0</v>
      </c>
    </row>
    <row r="9" spans="1:3">
      <c r="A9">
        <v>5</v>
      </c>
      <c r="B9">
        <f>INDEX(Data!$A$2:$A$101, MATCH(LARGE(Data!$AS$2:$AS$101,5), Data!$AS$2:$AS$101, 0))</f>
        <v>0</v>
      </c>
      <c r="C9">
        <f>LARGE(Data!$AS$2:$AS$101,5)</f>
        <v>0</v>
      </c>
    </row>
    <row r="10" spans="1:3">
      <c r="A10">
        <v>6</v>
      </c>
      <c r="B10">
        <f>INDEX(Data!$A$2:$A$101, MATCH(LARGE(Data!$AS$2:$AS$101,6), Data!$AS$2:$AS$101, 0))</f>
        <v>0</v>
      </c>
      <c r="C10">
        <f>LARGE(Data!$AS$2:$AS$101,6)</f>
        <v>0</v>
      </c>
    </row>
    <row r="11" spans="1:3">
      <c r="A11">
        <v>7</v>
      </c>
      <c r="B11">
        <f>INDEX(Data!$A$2:$A$101, MATCH(LARGE(Data!$AS$2:$AS$101,7), Data!$AS$2:$AS$101, 0))</f>
        <v>0</v>
      </c>
      <c r="C11">
        <f>LARGE(Data!$AS$2:$AS$101,7)</f>
        <v>0</v>
      </c>
    </row>
    <row r="12" spans="1:3">
      <c r="A12">
        <v>8</v>
      </c>
      <c r="B12">
        <f>INDEX(Data!$A$2:$A$101, MATCH(LARGE(Data!$AS$2:$AS$101,8), Data!$AS$2:$AS$101, 0))</f>
        <v>0</v>
      </c>
      <c r="C12">
        <f>LARGE(Data!$AS$2:$AS$101,8)</f>
        <v>0</v>
      </c>
    </row>
    <row r="13" spans="1:3">
      <c r="A13">
        <v>9</v>
      </c>
      <c r="B13">
        <f>INDEX(Data!$A$2:$A$101, MATCH(LARGE(Data!$AS$2:$AS$101,9), Data!$AS$2:$AS$101, 0))</f>
        <v>0</v>
      </c>
      <c r="C13">
        <f>LARGE(Data!$AS$2:$AS$101,9)</f>
        <v>0</v>
      </c>
    </row>
    <row r="14" spans="1:3">
      <c r="A14">
        <v>10</v>
      </c>
      <c r="B14">
        <f>INDEX(Data!$A$2:$A$101, MATCH(LARGE(Data!$AS$2:$AS$101,10), Data!$AS$2:$AS$101, 0))</f>
        <v>0</v>
      </c>
      <c r="C14">
        <f>LARGE(Data!$AS$2:$AS$101,10)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t="s">
        <v>0</v>
      </c>
      <c r="B1" t="s">
        <v>771</v>
      </c>
      <c r="C1" t="s">
        <v>772</v>
      </c>
      <c r="D1" t="s">
        <v>773</v>
      </c>
      <c r="E1" t="s">
        <v>774</v>
      </c>
      <c r="F1" t="s">
        <v>775</v>
      </c>
      <c r="G1" t="s">
        <v>776</v>
      </c>
    </row>
    <row r="2" spans="1:7">
      <c r="A2">
        <f>Data!A2</f>
        <v>0</v>
      </c>
      <c r="B2">
        <f>Data!AN2</f>
        <v>0</v>
      </c>
      <c r="C2">
        <f>Data!AO2</f>
        <v>0</v>
      </c>
      <c r="D2">
        <f>Data!AP2</f>
        <v>0</v>
      </c>
      <c r="E2">
        <f>Data!AQ2</f>
        <v>0</v>
      </c>
      <c r="F2">
        <f>Data!AR2</f>
        <v>0</v>
      </c>
    </row>
    <row r="3" spans="1:7">
      <c r="A3">
        <f>Data!A3</f>
        <v>0</v>
      </c>
      <c r="B3">
        <f>Data!AN3</f>
        <v>0</v>
      </c>
      <c r="C3">
        <f>Data!AO3</f>
        <v>0</v>
      </c>
      <c r="D3">
        <f>Data!AP3</f>
        <v>0</v>
      </c>
      <c r="E3">
        <f>Data!AQ3</f>
        <v>0</v>
      </c>
      <c r="F3">
        <f>Data!AR3</f>
        <v>0</v>
      </c>
    </row>
    <row r="4" spans="1:7">
      <c r="A4">
        <f>Data!A4</f>
        <v>0</v>
      </c>
      <c r="B4">
        <f>Data!AN4</f>
        <v>0</v>
      </c>
      <c r="C4">
        <f>Data!AO4</f>
        <v>0</v>
      </c>
      <c r="D4">
        <f>Data!AP4</f>
        <v>0</v>
      </c>
      <c r="E4">
        <f>Data!AQ4</f>
        <v>0</v>
      </c>
      <c r="F4">
        <f>Data!AR4</f>
        <v>0</v>
      </c>
    </row>
    <row r="5" spans="1:7">
      <c r="A5">
        <f>Data!A5</f>
        <v>0</v>
      </c>
      <c r="B5">
        <f>Data!AN5</f>
        <v>0</v>
      </c>
      <c r="C5">
        <f>Data!AO5</f>
        <v>0</v>
      </c>
      <c r="D5">
        <f>Data!AP5</f>
        <v>0</v>
      </c>
      <c r="E5">
        <f>Data!AQ5</f>
        <v>0</v>
      </c>
      <c r="F5">
        <f>Data!AR5</f>
        <v>0</v>
      </c>
    </row>
    <row r="6" spans="1:7">
      <c r="A6">
        <f>Data!A6</f>
        <v>0</v>
      </c>
      <c r="B6">
        <f>Data!AN6</f>
        <v>0</v>
      </c>
      <c r="C6">
        <f>Data!AO6</f>
        <v>0</v>
      </c>
      <c r="D6">
        <f>Data!AP6</f>
        <v>0</v>
      </c>
      <c r="E6">
        <f>Data!AQ6</f>
        <v>0</v>
      </c>
      <c r="F6">
        <f>Data!AR6</f>
        <v>0</v>
      </c>
    </row>
    <row r="7" spans="1:7">
      <c r="A7">
        <f>Data!A7</f>
        <v>0</v>
      </c>
      <c r="B7">
        <f>Data!AN7</f>
        <v>0</v>
      </c>
      <c r="C7">
        <f>Data!AO7</f>
        <v>0</v>
      </c>
      <c r="D7">
        <f>Data!AP7</f>
        <v>0</v>
      </c>
      <c r="E7">
        <f>Data!AQ7</f>
        <v>0</v>
      </c>
      <c r="F7">
        <f>Data!AR7</f>
        <v>0</v>
      </c>
    </row>
    <row r="8" spans="1:7">
      <c r="A8">
        <f>Data!A8</f>
        <v>0</v>
      </c>
      <c r="B8">
        <f>Data!AN8</f>
        <v>0</v>
      </c>
      <c r="C8">
        <f>Data!AO8</f>
        <v>0</v>
      </c>
      <c r="D8">
        <f>Data!AP8</f>
        <v>0</v>
      </c>
      <c r="E8">
        <f>Data!AQ8</f>
        <v>0</v>
      </c>
      <c r="F8">
        <f>Data!AR8</f>
        <v>0</v>
      </c>
    </row>
    <row r="9" spans="1:7">
      <c r="A9">
        <f>Data!A9</f>
        <v>0</v>
      </c>
      <c r="B9">
        <f>Data!AN9</f>
        <v>0</v>
      </c>
      <c r="C9">
        <f>Data!AO9</f>
        <v>0</v>
      </c>
      <c r="D9">
        <f>Data!AP9</f>
        <v>0</v>
      </c>
      <c r="E9">
        <f>Data!AQ9</f>
        <v>0</v>
      </c>
      <c r="F9">
        <f>Data!AR9</f>
        <v>0</v>
      </c>
    </row>
    <row r="10" spans="1:7">
      <c r="A10">
        <f>Data!A10</f>
        <v>0</v>
      </c>
      <c r="B10">
        <f>Data!AN10</f>
        <v>0</v>
      </c>
      <c r="C10">
        <f>Data!AO10</f>
        <v>0</v>
      </c>
      <c r="D10">
        <f>Data!AP10</f>
        <v>0</v>
      </c>
      <c r="E10">
        <f>Data!AQ10</f>
        <v>0</v>
      </c>
      <c r="F10">
        <f>Data!AR10</f>
        <v>0</v>
      </c>
    </row>
    <row r="11" spans="1:7">
      <c r="A11">
        <f>Data!A11</f>
        <v>0</v>
      </c>
      <c r="B11">
        <f>Data!AN11</f>
        <v>0</v>
      </c>
      <c r="C11">
        <f>Data!AO11</f>
        <v>0</v>
      </c>
      <c r="D11">
        <f>Data!AP11</f>
        <v>0</v>
      </c>
      <c r="E11">
        <f>Data!AQ11</f>
        <v>0</v>
      </c>
      <c r="F11">
        <f>Data!AR11</f>
        <v>0</v>
      </c>
    </row>
    <row r="12" spans="1:7">
      <c r="A12">
        <f>Data!A12</f>
        <v>0</v>
      </c>
      <c r="B12">
        <f>Data!AN12</f>
        <v>0</v>
      </c>
      <c r="C12">
        <f>Data!AO12</f>
        <v>0</v>
      </c>
      <c r="D12">
        <f>Data!AP12</f>
        <v>0</v>
      </c>
      <c r="E12">
        <f>Data!AQ12</f>
        <v>0</v>
      </c>
      <c r="F12">
        <f>Data!AR12</f>
        <v>0</v>
      </c>
    </row>
    <row r="13" spans="1:7">
      <c r="A13">
        <f>Data!A13</f>
        <v>0</v>
      </c>
      <c r="B13">
        <f>Data!AN13</f>
        <v>0</v>
      </c>
      <c r="C13">
        <f>Data!AO13</f>
        <v>0</v>
      </c>
      <c r="D13">
        <f>Data!AP13</f>
        <v>0</v>
      </c>
      <c r="E13">
        <f>Data!AQ13</f>
        <v>0</v>
      </c>
      <c r="F13">
        <f>Data!AR13</f>
        <v>0</v>
      </c>
    </row>
    <row r="14" spans="1:7">
      <c r="A14">
        <f>Data!A14</f>
        <v>0</v>
      </c>
      <c r="B14">
        <f>Data!AN14</f>
        <v>0</v>
      </c>
      <c r="C14">
        <f>Data!AO14</f>
        <v>0</v>
      </c>
      <c r="D14">
        <f>Data!AP14</f>
        <v>0</v>
      </c>
      <c r="E14">
        <f>Data!AQ14</f>
        <v>0</v>
      </c>
      <c r="F14">
        <f>Data!AR14</f>
        <v>0</v>
      </c>
    </row>
    <row r="15" spans="1:7">
      <c r="A15">
        <f>Data!A15</f>
        <v>0</v>
      </c>
      <c r="B15">
        <f>Data!AN15</f>
        <v>0</v>
      </c>
      <c r="C15">
        <f>Data!AO15</f>
        <v>0</v>
      </c>
      <c r="D15">
        <f>Data!AP15</f>
        <v>0</v>
      </c>
      <c r="E15">
        <f>Data!AQ15</f>
        <v>0</v>
      </c>
      <c r="F15">
        <f>Data!AR15</f>
        <v>0</v>
      </c>
    </row>
    <row r="16" spans="1:7">
      <c r="A16">
        <f>Data!A16</f>
        <v>0</v>
      </c>
      <c r="B16">
        <f>Data!AN16</f>
        <v>0</v>
      </c>
      <c r="C16">
        <f>Data!AO16</f>
        <v>0</v>
      </c>
      <c r="D16">
        <f>Data!AP16</f>
        <v>0</v>
      </c>
      <c r="E16">
        <f>Data!AQ16</f>
        <v>0</v>
      </c>
      <c r="F16">
        <f>Data!AR16</f>
        <v>0</v>
      </c>
    </row>
    <row r="17" spans="1:6">
      <c r="A17">
        <f>Data!A17</f>
        <v>0</v>
      </c>
      <c r="B17">
        <f>Data!AN17</f>
        <v>0</v>
      </c>
      <c r="C17">
        <f>Data!AO17</f>
        <v>0</v>
      </c>
      <c r="D17">
        <f>Data!AP17</f>
        <v>0</v>
      </c>
      <c r="E17">
        <f>Data!AQ17</f>
        <v>0</v>
      </c>
      <c r="F17">
        <f>Data!AR17</f>
        <v>0</v>
      </c>
    </row>
    <row r="18" spans="1:6">
      <c r="A18">
        <f>Data!A18</f>
        <v>0</v>
      </c>
      <c r="B18">
        <f>Data!AN18</f>
        <v>0</v>
      </c>
      <c r="C18">
        <f>Data!AO18</f>
        <v>0</v>
      </c>
      <c r="D18">
        <f>Data!AP18</f>
        <v>0</v>
      </c>
      <c r="E18">
        <f>Data!AQ18</f>
        <v>0</v>
      </c>
      <c r="F18">
        <f>Data!AR18</f>
        <v>0</v>
      </c>
    </row>
    <row r="19" spans="1:6">
      <c r="A19">
        <f>Data!A19</f>
        <v>0</v>
      </c>
      <c r="B19">
        <f>Data!AN19</f>
        <v>0</v>
      </c>
      <c r="C19">
        <f>Data!AO19</f>
        <v>0</v>
      </c>
      <c r="D19">
        <f>Data!AP19</f>
        <v>0</v>
      </c>
      <c r="E19">
        <f>Data!AQ19</f>
        <v>0</v>
      </c>
      <c r="F19">
        <f>Data!AR19</f>
        <v>0</v>
      </c>
    </row>
    <row r="20" spans="1:6">
      <c r="A20">
        <f>Data!A20</f>
        <v>0</v>
      </c>
      <c r="B20">
        <f>Data!AN20</f>
        <v>0</v>
      </c>
      <c r="C20">
        <f>Data!AO20</f>
        <v>0</v>
      </c>
      <c r="D20">
        <f>Data!AP20</f>
        <v>0</v>
      </c>
      <c r="E20">
        <f>Data!AQ20</f>
        <v>0</v>
      </c>
      <c r="F20">
        <f>Data!AR20</f>
        <v>0</v>
      </c>
    </row>
    <row r="21" spans="1:6">
      <c r="A21">
        <f>Data!A21</f>
        <v>0</v>
      </c>
      <c r="B21">
        <f>Data!AN21</f>
        <v>0</v>
      </c>
      <c r="C21">
        <f>Data!AO21</f>
        <v>0</v>
      </c>
      <c r="D21">
        <f>Data!AP21</f>
        <v>0</v>
      </c>
      <c r="E21">
        <f>Data!AQ21</f>
        <v>0</v>
      </c>
      <c r="F21">
        <f>Data!AR21</f>
        <v>0</v>
      </c>
    </row>
    <row r="22" spans="1:6">
      <c r="A22">
        <f>Data!A22</f>
        <v>0</v>
      </c>
      <c r="B22">
        <f>Data!AN22</f>
        <v>0</v>
      </c>
      <c r="C22">
        <f>Data!AO22</f>
        <v>0</v>
      </c>
      <c r="D22">
        <f>Data!AP22</f>
        <v>0</v>
      </c>
      <c r="E22">
        <f>Data!AQ22</f>
        <v>0</v>
      </c>
      <c r="F22">
        <f>Data!AR22</f>
        <v>0</v>
      </c>
    </row>
    <row r="23" spans="1:6">
      <c r="A23">
        <f>Data!A23</f>
        <v>0</v>
      </c>
      <c r="B23">
        <f>Data!AN23</f>
        <v>0</v>
      </c>
      <c r="C23">
        <f>Data!AO23</f>
        <v>0</v>
      </c>
      <c r="D23">
        <f>Data!AP23</f>
        <v>0</v>
      </c>
      <c r="E23">
        <f>Data!AQ23</f>
        <v>0</v>
      </c>
      <c r="F23">
        <f>Data!AR23</f>
        <v>0</v>
      </c>
    </row>
    <row r="24" spans="1:6">
      <c r="A24">
        <f>Data!A24</f>
        <v>0</v>
      </c>
      <c r="B24">
        <f>Data!AN24</f>
        <v>0</v>
      </c>
      <c r="C24">
        <f>Data!AO24</f>
        <v>0</v>
      </c>
      <c r="D24">
        <f>Data!AP24</f>
        <v>0</v>
      </c>
      <c r="E24">
        <f>Data!AQ24</f>
        <v>0</v>
      </c>
      <c r="F24">
        <f>Data!AR24</f>
        <v>0</v>
      </c>
    </row>
    <row r="25" spans="1:6">
      <c r="A25">
        <f>Data!A25</f>
        <v>0</v>
      </c>
      <c r="B25">
        <f>Data!AN25</f>
        <v>0</v>
      </c>
      <c r="C25">
        <f>Data!AO25</f>
        <v>0</v>
      </c>
      <c r="D25">
        <f>Data!AP25</f>
        <v>0</v>
      </c>
      <c r="E25">
        <f>Data!AQ25</f>
        <v>0</v>
      </c>
      <c r="F25">
        <f>Data!AR25</f>
        <v>0</v>
      </c>
    </row>
    <row r="26" spans="1:6">
      <c r="A26">
        <f>Data!A26</f>
        <v>0</v>
      </c>
      <c r="B26">
        <f>Data!AN26</f>
        <v>0</v>
      </c>
      <c r="C26">
        <f>Data!AO26</f>
        <v>0</v>
      </c>
      <c r="D26">
        <f>Data!AP26</f>
        <v>0</v>
      </c>
      <c r="E26">
        <f>Data!AQ26</f>
        <v>0</v>
      </c>
      <c r="F26">
        <f>Data!AR26</f>
        <v>0</v>
      </c>
    </row>
    <row r="27" spans="1:6">
      <c r="A27">
        <f>Data!A27</f>
        <v>0</v>
      </c>
      <c r="B27">
        <f>Data!AN27</f>
        <v>0</v>
      </c>
      <c r="C27">
        <f>Data!AO27</f>
        <v>0</v>
      </c>
      <c r="D27">
        <f>Data!AP27</f>
        <v>0</v>
      </c>
      <c r="E27">
        <f>Data!AQ27</f>
        <v>0</v>
      </c>
      <c r="F27">
        <f>Data!AR27</f>
        <v>0</v>
      </c>
    </row>
    <row r="28" spans="1:6">
      <c r="A28">
        <f>Data!A28</f>
        <v>0</v>
      </c>
      <c r="B28">
        <f>Data!AN28</f>
        <v>0</v>
      </c>
      <c r="C28">
        <f>Data!AO28</f>
        <v>0</v>
      </c>
      <c r="D28">
        <f>Data!AP28</f>
        <v>0</v>
      </c>
      <c r="E28">
        <f>Data!AQ28</f>
        <v>0</v>
      </c>
      <c r="F28">
        <f>Data!AR28</f>
        <v>0</v>
      </c>
    </row>
    <row r="29" spans="1:6">
      <c r="A29">
        <f>Data!A29</f>
        <v>0</v>
      </c>
      <c r="B29">
        <f>Data!AN29</f>
        <v>0</v>
      </c>
      <c r="C29">
        <f>Data!AO29</f>
        <v>0</v>
      </c>
      <c r="D29">
        <f>Data!AP29</f>
        <v>0</v>
      </c>
      <c r="E29">
        <f>Data!AQ29</f>
        <v>0</v>
      </c>
      <c r="F29">
        <f>Data!AR29</f>
        <v>0</v>
      </c>
    </row>
    <row r="30" spans="1:6">
      <c r="A30">
        <f>Data!A30</f>
        <v>0</v>
      </c>
      <c r="B30">
        <f>Data!AN30</f>
        <v>0</v>
      </c>
      <c r="C30">
        <f>Data!AO30</f>
        <v>0</v>
      </c>
      <c r="D30">
        <f>Data!AP30</f>
        <v>0</v>
      </c>
      <c r="E30">
        <f>Data!AQ30</f>
        <v>0</v>
      </c>
      <c r="F30">
        <f>Data!AR30</f>
        <v>0</v>
      </c>
    </row>
    <row r="31" spans="1:6">
      <c r="A31">
        <f>Data!A31</f>
        <v>0</v>
      </c>
      <c r="B31">
        <f>Data!AN31</f>
        <v>0</v>
      </c>
      <c r="C31">
        <f>Data!AO31</f>
        <v>0</v>
      </c>
      <c r="D31">
        <f>Data!AP31</f>
        <v>0</v>
      </c>
      <c r="E31">
        <f>Data!AQ31</f>
        <v>0</v>
      </c>
      <c r="F31">
        <f>Data!AR31</f>
        <v>0</v>
      </c>
    </row>
    <row r="32" spans="1:6">
      <c r="A32">
        <f>Data!A32</f>
        <v>0</v>
      </c>
      <c r="B32">
        <f>Data!AN32</f>
        <v>0</v>
      </c>
      <c r="C32">
        <f>Data!AO32</f>
        <v>0</v>
      </c>
      <c r="D32">
        <f>Data!AP32</f>
        <v>0</v>
      </c>
      <c r="E32">
        <f>Data!AQ32</f>
        <v>0</v>
      </c>
      <c r="F32">
        <f>Data!AR32</f>
        <v>0</v>
      </c>
    </row>
    <row r="33" spans="1:6">
      <c r="A33">
        <f>Data!A33</f>
        <v>0</v>
      </c>
      <c r="B33">
        <f>Data!AN33</f>
        <v>0</v>
      </c>
      <c r="C33">
        <f>Data!AO33</f>
        <v>0</v>
      </c>
      <c r="D33">
        <f>Data!AP33</f>
        <v>0</v>
      </c>
      <c r="E33">
        <f>Data!AQ33</f>
        <v>0</v>
      </c>
      <c r="F33">
        <f>Data!AR33</f>
        <v>0</v>
      </c>
    </row>
    <row r="34" spans="1:6">
      <c r="A34">
        <f>Data!A34</f>
        <v>0</v>
      </c>
      <c r="B34">
        <f>Data!AN34</f>
        <v>0</v>
      </c>
      <c r="C34">
        <f>Data!AO34</f>
        <v>0</v>
      </c>
      <c r="D34">
        <f>Data!AP34</f>
        <v>0</v>
      </c>
      <c r="E34">
        <f>Data!AQ34</f>
        <v>0</v>
      </c>
      <c r="F34">
        <f>Data!AR34</f>
        <v>0</v>
      </c>
    </row>
    <row r="35" spans="1:6">
      <c r="A35">
        <f>Data!A35</f>
        <v>0</v>
      </c>
      <c r="B35">
        <f>Data!AN35</f>
        <v>0</v>
      </c>
      <c r="C35">
        <f>Data!AO35</f>
        <v>0</v>
      </c>
      <c r="D35">
        <f>Data!AP35</f>
        <v>0</v>
      </c>
      <c r="E35">
        <f>Data!AQ35</f>
        <v>0</v>
      </c>
      <c r="F35">
        <f>Data!AR35</f>
        <v>0</v>
      </c>
    </row>
    <row r="36" spans="1:6">
      <c r="A36">
        <f>Data!A36</f>
        <v>0</v>
      </c>
      <c r="B36">
        <f>Data!AN36</f>
        <v>0</v>
      </c>
      <c r="C36">
        <f>Data!AO36</f>
        <v>0</v>
      </c>
      <c r="D36">
        <f>Data!AP36</f>
        <v>0</v>
      </c>
      <c r="E36">
        <f>Data!AQ36</f>
        <v>0</v>
      </c>
      <c r="F36">
        <f>Data!AR36</f>
        <v>0</v>
      </c>
    </row>
    <row r="37" spans="1:6">
      <c r="A37">
        <f>Data!A37</f>
        <v>0</v>
      </c>
      <c r="B37">
        <f>Data!AN37</f>
        <v>0</v>
      </c>
      <c r="C37">
        <f>Data!AO37</f>
        <v>0</v>
      </c>
      <c r="D37">
        <f>Data!AP37</f>
        <v>0</v>
      </c>
      <c r="E37">
        <f>Data!AQ37</f>
        <v>0</v>
      </c>
      <c r="F37">
        <f>Data!AR37</f>
        <v>0</v>
      </c>
    </row>
    <row r="38" spans="1:6">
      <c r="A38">
        <f>Data!A38</f>
        <v>0</v>
      </c>
      <c r="B38">
        <f>Data!AN38</f>
        <v>0</v>
      </c>
      <c r="C38">
        <f>Data!AO38</f>
        <v>0</v>
      </c>
      <c r="D38">
        <f>Data!AP38</f>
        <v>0</v>
      </c>
      <c r="E38">
        <f>Data!AQ38</f>
        <v>0</v>
      </c>
      <c r="F38">
        <f>Data!AR38</f>
        <v>0</v>
      </c>
    </row>
    <row r="39" spans="1:6">
      <c r="A39">
        <f>Data!A39</f>
        <v>0</v>
      </c>
      <c r="B39">
        <f>Data!AN39</f>
        <v>0</v>
      </c>
      <c r="C39">
        <f>Data!AO39</f>
        <v>0</v>
      </c>
      <c r="D39">
        <f>Data!AP39</f>
        <v>0</v>
      </c>
      <c r="E39">
        <f>Data!AQ39</f>
        <v>0</v>
      </c>
      <c r="F39">
        <f>Data!AR39</f>
        <v>0</v>
      </c>
    </row>
    <row r="40" spans="1:6">
      <c r="A40">
        <f>Data!A40</f>
        <v>0</v>
      </c>
      <c r="B40">
        <f>Data!AN40</f>
        <v>0</v>
      </c>
      <c r="C40">
        <f>Data!AO40</f>
        <v>0</v>
      </c>
      <c r="D40">
        <f>Data!AP40</f>
        <v>0</v>
      </c>
      <c r="E40">
        <f>Data!AQ40</f>
        <v>0</v>
      </c>
      <c r="F40">
        <f>Data!AR40</f>
        <v>0</v>
      </c>
    </row>
    <row r="41" spans="1:6">
      <c r="A41">
        <f>Data!A41</f>
        <v>0</v>
      </c>
      <c r="B41">
        <f>Data!AN41</f>
        <v>0</v>
      </c>
      <c r="C41">
        <f>Data!AO41</f>
        <v>0</v>
      </c>
      <c r="D41">
        <f>Data!AP41</f>
        <v>0</v>
      </c>
      <c r="E41">
        <f>Data!AQ41</f>
        <v>0</v>
      </c>
      <c r="F41">
        <f>Data!AR41</f>
        <v>0</v>
      </c>
    </row>
    <row r="42" spans="1:6">
      <c r="A42">
        <f>Data!A42</f>
        <v>0</v>
      </c>
      <c r="B42">
        <f>Data!AN42</f>
        <v>0</v>
      </c>
      <c r="C42">
        <f>Data!AO42</f>
        <v>0</v>
      </c>
      <c r="D42">
        <f>Data!AP42</f>
        <v>0</v>
      </c>
      <c r="E42">
        <f>Data!AQ42</f>
        <v>0</v>
      </c>
      <c r="F42">
        <f>Data!AR42</f>
        <v>0</v>
      </c>
    </row>
    <row r="43" spans="1:6">
      <c r="A43">
        <f>Data!A43</f>
        <v>0</v>
      </c>
      <c r="B43">
        <f>Data!AN43</f>
        <v>0</v>
      </c>
      <c r="C43">
        <f>Data!AO43</f>
        <v>0</v>
      </c>
      <c r="D43">
        <f>Data!AP43</f>
        <v>0</v>
      </c>
      <c r="E43">
        <f>Data!AQ43</f>
        <v>0</v>
      </c>
      <c r="F43">
        <f>Data!AR43</f>
        <v>0</v>
      </c>
    </row>
    <row r="44" spans="1:6">
      <c r="A44">
        <f>Data!A44</f>
        <v>0</v>
      </c>
      <c r="B44">
        <f>Data!AN44</f>
        <v>0</v>
      </c>
      <c r="C44">
        <f>Data!AO44</f>
        <v>0</v>
      </c>
      <c r="D44">
        <f>Data!AP44</f>
        <v>0</v>
      </c>
      <c r="E44">
        <f>Data!AQ44</f>
        <v>0</v>
      </c>
      <c r="F44">
        <f>Data!AR44</f>
        <v>0</v>
      </c>
    </row>
    <row r="45" spans="1:6">
      <c r="A45">
        <f>Data!A45</f>
        <v>0</v>
      </c>
      <c r="B45">
        <f>Data!AN45</f>
        <v>0</v>
      </c>
      <c r="C45">
        <f>Data!AO45</f>
        <v>0</v>
      </c>
      <c r="D45">
        <f>Data!AP45</f>
        <v>0</v>
      </c>
      <c r="E45">
        <f>Data!AQ45</f>
        <v>0</v>
      </c>
      <c r="F45">
        <f>Data!AR45</f>
        <v>0</v>
      </c>
    </row>
    <row r="46" spans="1:6">
      <c r="A46">
        <f>Data!A46</f>
        <v>0</v>
      </c>
      <c r="B46">
        <f>Data!AN46</f>
        <v>0</v>
      </c>
      <c r="C46">
        <f>Data!AO46</f>
        <v>0</v>
      </c>
      <c r="D46">
        <f>Data!AP46</f>
        <v>0</v>
      </c>
      <c r="E46">
        <f>Data!AQ46</f>
        <v>0</v>
      </c>
      <c r="F46">
        <f>Data!AR46</f>
        <v>0</v>
      </c>
    </row>
    <row r="47" spans="1:6">
      <c r="A47">
        <f>Data!A47</f>
        <v>0</v>
      </c>
      <c r="B47">
        <f>Data!AN47</f>
        <v>0</v>
      </c>
      <c r="C47">
        <f>Data!AO47</f>
        <v>0</v>
      </c>
      <c r="D47">
        <f>Data!AP47</f>
        <v>0</v>
      </c>
      <c r="E47">
        <f>Data!AQ47</f>
        <v>0</v>
      </c>
      <c r="F47">
        <f>Data!AR47</f>
        <v>0</v>
      </c>
    </row>
    <row r="48" spans="1:6">
      <c r="A48">
        <f>Data!A48</f>
        <v>0</v>
      </c>
      <c r="B48">
        <f>Data!AN48</f>
        <v>0</v>
      </c>
      <c r="C48">
        <f>Data!AO48</f>
        <v>0</v>
      </c>
      <c r="D48">
        <f>Data!AP48</f>
        <v>0</v>
      </c>
      <c r="E48">
        <f>Data!AQ48</f>
        <v>0</v>
      </c>
      <c r="F48">
        <f>Data!AR48</f>
        <v>0</v>
      </c>
    </row>
    <row r="49" spans="1:6">
      <c r="A49">
        <f>Data!A49</f>
        <v>0</v>
      </c>
      <c r="B49">
        <f>Data!AN49</f>
        <v>0</v>
      </c>
      <c r="C49">
        <f>Data!AO49</f>
        <v>0</v>
      </c>
      <c r="D49">
        <f>Data!AP49</f>
        <v>0</v>
      </c>
      <c r="E49">
        <f>Data!AQ49</f>
        <v>0</v>
      </c>
      <c r="F49">
        <f>Data!AR49</f>
        <v>0</v>
      </c>
    </row>
    <row r="50" spans="1:6">
      <c r="A50">
        <f>Data!A50</f>
        <v>0</v>
      </c>
      <c r="B50">
        <f>Data!AN50</f>
        <v>0</v>
      </c>
      <c r="C50">
        <f>Data!AO50</f>
        <v>0</v>
      </c>
      <c r="D50">
        <f>Data!AP50</f>
        <v>0</v>
      </c>
      <c r="E50">
        <f>Data!AQ50</f>
        <v>0</v>
      </c>
      <c r="F50">
        <f>Data!AR50</f>
        <v>0</v>
      </c>
    </row>
    <row r="51" spans="1:6">
      <c r="A51">
        <f>Data!A51</f>
        <v>0</v>
      </c>
      <c r="B51">
        <f>Data!AN51</f>
        <v>0</v>
      </c>
      <c r="C51">
        <f>Data!AO51</f>
        <v>0</v>
      </c>
      <c r="D51">
        <f>Data!AP51</f>
        <v>0</v>
      </c>
      <c r="E51">
        <f>Data!AQ51</f>
        <v>0</v>
      </c>
      <c r="F51">
        <f>Data!AR51</f>
        <v>0</v>
      </c>
    </row>
    <row r="52" spans="1:6">
      <c r="A52">
        <f>Data!A52</f>
        <v>0</v>
      </c>
      <c r="B52">
        <f>Data!AN52</f>
        <v>0</v>
      </c>
      <c r="C52">
        <f>Data!AO52</f>
        <v>0</v>
      </c>
      <c r="D52">
        <f>Data!AP52</f>
        <v>0</v>
      </c>
      <c r="E52">
        <f>Data!AQ52</f>
        <v>0</v>
      </c>
      <c r="F52">
        <f>Data!AR52</f>
        <v>0</v>
      </c>
    </row>
    <row r="53" spans="1:6">
      <c r="A53">
        <f>Data!A53</f>
        <v>0</v>
      </c>
      <c r="B53">
        <f>Data!AN53</f>
        <v>0</v>
      </c>
      <c r="C53">
        <f>Data!AO53</f>
        <v>0</v>
      </c>
      <c r="D53">
        <f>Data!AP53</f>
        <v>0</v>
      </c>
      <c r="E53">
        <f>Data!AQ53</f>
        <v>0</v>
      </c>
      <c r="F53">
        <f>Data!AR53</f>
        <v>0</v>
      </c>
    </row>
    <row r="54" spans="1:6">
      <c r="A54">
        <f>Data!A54</f>
        <v>0</v>
      </c>
      <c r="B54">
        <f>Data!AN54</f>
        <v>0</v>
      </c>
      <c r="C54">
        <f>Data!AO54</f>
        <v>0</v>
      </c>
      <c r="D54">
        <f>Data!AP54</f>
        <v>0</v>
      </c>
      <c r="E54">
        <f>Data!AQ54</f>
        <v>0</v>
      </c>
      <c r="F54">
        <f>Data!AR54</f>
        <v>0</v>
      </c>
    </row>
    <row r="55" spans="1:6">
      <c r="A55">
        <f>Data!A55</f>
        <v>0</v>
      </c>
      <c r="B55">
        <f>Data!AN55</f>
        <v>0</v>
      </c>
      <c r="C55">
        <f>Data!AO55</f>
        <v>0</v>
      </c>
      <c r="D55">
        <f>Data!AP55</f>
        <v>0</v>
      </c>
      <c r="E55">
        <f>Data!AQ55</f>
        <v>0</v>
      </c>
      <c r="F55">
        <f>Data!AR55</f>
        <v>0</v>
      </c>
    </row>
    <row r="56" spans="1:6">
      <c r="A56">
        <f>Data!A56</f>
        <v>0</v>
      </c>
      <c r="B56">
        <f>Data!AN56</f>
        <v>0</v>
      </c>
      <c r="C56">
        <f>Data!AO56</f>
        <v>0</v>
      </c>
      <c r="D56">
        <f>Data!AP56</f>
        <v>0</v>
      </c>
      <c r="E56">
        <f>Data!AQ56</f>
        <v>0</v>
      </c>
      <c r="F56">
        <f>Data!AR56</f>
        <v>0</v>
      </c>
    </row>
    <row r="57" spans="1:6">
      <c r="A57">
        <f>Data!A57</f>
        <v>0</v>
      </c>
      <c r="B57">
        <f>Data!AN57</f>
        <v>0</v>
      </c>
      <c r="C57">
        <f>Data!AO57</f>
        <v>0</v>
      </c>
      <c r="D57">
        <f>Data!AP57</f>
        <v>0</v>
      </c>
      <c r="E57">
        <f>Data!AQ57</f>
        <v>0</v>
      </c>
      <c r="F57">
        <f>Data!AR57</f>
        <v>0</v>
      </c>
    </row>
    <row r="58" spans="1:6">
      <c r="A58">
        <f>Data!A58</f>
        <v>0</v>
      </c>
      <c r="B58">
        <f>Data!AN58</f>
        <v>0</v>
      </c>
      <c r="C58">
        <f>Data!AO58</f>
        <v>0</v>
      </c>
      <c r="D58">
        <f>Data!AP58</f>
        <v>0</v>
      </c>
      <c r="E58">
        <f>Data!AQ58</f>
        <v>0</v>
      </c>
      <c r="F58">
        <f>Data!AR58</f>
        <v>0</v>
      </c>
    </row>
    <row r="59" spans="1:6">
      <c r="A59">
        <f>Data!A59</f>
        <v>0</v>
      </c>
      <c r="B59">
        <f>Data!AN59</f>
        <v>0</v>
      </c>
      <c r="C59">
        <f>Data!AO59</f>
        <v>0</v>
      </c>
      <c r="D59">
        <f>Data!AP59</f>
        <v>0</v>
      </c>
      <c r="E59">
        <f>Data!AQ59</f>
        <v>0</v>
      </c>
      <c r="F59">
        <f>Data!AR59</f>
        <v>0</v>
      </c>
    </row>
    <row r="60" spans="1:6">
      <c r="A60">
        <f>Data!A60</f>
        <v>0</v>
      </c>
      <c r="B60">
        <f>Data!AN60</f>
        <v>0</v>
      </c>
      <c r="C60">
        <f>Data!AO60</f>
        <v>0</v>
      </c>
      <c r="D60">
        <f>Data!AP60</f>
        <v>0</v>
      </c>
      <c r="E60">
        <f>Data!AQ60</f>
        <v>0</v>
      </c>
      <c r="F60">
        <f>Data!AR60</f>
        <v>0</v>
      </c>
    </row>
    <row r="61" spans="1:6">
      <c r="A61">
        <f>Data!A61</f>
        <v>0</v>
      </c>
      <c r="B61">
        <f>Data!AN61</f>
        <v>0</v>
      </c>
      <c r="C61">
        <f>Data!AO61</f>
        <v>0</v>
      </c>
      <c r="D61">
        <f>Data!AP61</f>
        <v>0</v>
      </c>
      <c r="E61">
        <f>Data!AQ61</f>
        <v>0</v>
      </c>
      <c r="F61">
        <f>Data!AR61</f>
        <v>0</v>
      </c>
    </row>
    <row r="62" spans="1:6">
      <c r="A62">
        <f>Data!A62</f>
        <v>0</v>
      </c>
      <c r="B62">
        <f>Data!AN62</f>
        <v>0</v>
      </c>
      <c r="C62">
        <f>Data!AO62</f>
        <v>0</v>
      </c>
      <c r="D62">
        <f>Data!AP62</f>
        <v>0</v>
      </c>
      <c r="E62">
        <f>Data!AQ62</f>
        <v>0</v>
      </c>
      <c r="F62">
        <f>Data!AR62</f>
        <v>0</v>
      </c>
    </row>
    <row r="63" spans="1:6">
      <c r="A63">
        <f>Data!A63</f>
        <v>0</v>
      </c>
      <c r="B63">
        <f>Data!AN63</f>
        <v>0</v>
      </c>
      <c r="C63">
        <f>Data!AO63</f>
        <v>0</v>
      </c>
      <c r="D63">
        <f>Data!AP63</f>
        <v>0</v>
      </c>
      <c r="E63">
        <f>Data!AQ63</f>
        <v>0</v>
      </c>
      <c r="F63">
        <f>Data!AR63</f>
        <v>0</v>
      </c>
    </row>
    <row r="64" spans="1:6">
      <c r="A64">
        <f>Data!A64</f>
        <v>0</v>
      </c>
      <c r="B64">
        <f>Data!AN64</f>
        <v>0</v>
      </c>
      <c r="C64">
        <f>Data!AO64</f>
        <v>0</v>
      </c>
      <c r="D64">
        <f>Data!AP64</f>
        <v>0</v>
      </c>
      <c r="E64">
        <f>Data!AQ64</f>
        <v>0</v>
      </c>
      <c r="F64">
        <f>Data!AR64</f>
        <v>0</v>
      </c>
    </row>
    <row r="65" spans="1:6">
      <c r="A65">
        <f>Data!A65</f>
        <v>0</v>
      </c>
      <c r="B65">
        <f>Data!AN65</f>
        <v>0</v>
      </c>
      <c r="C65">
        <f>Data!AO65</f>
        <v>0</v>
      </c>
      <c r="D65">
        <f>Data!AP65</f>
        <v>0</v>
      </c>
      <c r="E65">
        <f>Data!AQ65</f>
        <v>0</v>
      </c>
      <c r="F65">
        <f>Data!AR65</f>
        <v>0</v>
      </c>
    </row>
    <row r="66" spans="1:6">
      <c r="A66">
        <f>Data!A66</f>
        <v>0</v>
      </c>
      <c r="B66">
        <f>Data!AN66</f>
        <v>0</v>
      </c>
      <c r="C66">
        <f>Data!AO66</f>
        <v>0</v>
      </c>
      <c r="D66">
        <f>Data!AP66</f>
        <v>0</v>
      </c>
      <c r="E66">
        <f>Data!AQ66</f>
        <v>0</v>
      </c>
      <c r="F66">
        <f>Data!AR66</f>
        <v>0</v>
      </c>
    </row>
    <row r="67" spans="1:6">
      <c r="A67">
        <f>Data!A67</f>
        <v>0</v>
      </c>
      <c r="B67">
        <f>Data!AN67</f>
        <v>0</v>
      </c>
      <c r="C67">
        <f>Data!AO67</f>
        <v>0</v>
      </c>
      <c r="D67">
        <f>Data!AP67</f>
        <v>0</v>
      </c>
      <c r="E67">
        <f>Data!AQ67</f>
        <v>0</v>
      </c>
      <c r="F67">
        <f>Data!AR67</f>
        <v>0</v>
      </c>
    </row>
    <row r="68" spans="1:6">
      <c r="A68">
        <f>Data!A68</f>
        <v>0</v>
      </c>
      <c r="B68">
        <f>Data!AN68</f>
        <v>0</v>
      </c>
      <c r="C68">
        <f>Data!AO68</f>
        <v>0</v>
      </c>
      <c r="D68">
        <f>Data!AP68</f>
        <v>0</v>
      </c>
      <c r="E68">
        <f>Data!AQ68</f>
        <v>0</v>
      </c>
      <c r="F68">
        <f>Data!AR68</f>
        <v>0</v>
      </c>
    </row>
    <row r="69" spans="1:6">
      <c r="A69">
        <f>Data!A69</f>
        <v>0</v>
      </c>
      <c r="B69">
        <f>Data!AN69</f>
        <v>0</v>
      </c>
      <c r="C69">
        <f>Data!AO69</f>
        <v>0</v>
      </c>
      <c r="D69">
        <f>Data!AP69</f>
        <v>0</v>
      </c>
      <c r="E69">
        <f>Data!AQ69</f>
        <v>0</v>
      </c>
      <c r="F69">
        <f>Data!AR69</f>
        <v>0</v>
      </c>
    </row>
    <row r="70" spans="1:6">
      <c r="A70">
        <f>Data!A70</f>
        <v>0</v>
      </c>
      <c r="B70">
        <f>Data!AN70</f>
        <v>0</v>
      </c>
      <c r="C70">
        <f>Data!AO70</f>
        <v>0</v>
      </c>
      <c r="D70">
        <f>Data!AP70</f>
        <v>0</v>
      </c>
      <c r="E70">
        <f>Data!AQ70</f>
        <v>0</v>
      </c>
      <c r="F70">
        <f>Data!AR70</f>
        <v>0</v>
      </c>
    </row>
    <row r="71" spans="1:6">
      <c r="A71">
        <f>Data!A71</f>
        <v>0</v>
      </c>
      <c r="B71">
        <f>Data!AN71</f>
        <v>0</v>
      </c>
      <c r="C71">
        <f>Data!AO71</f>
        <v>0</v>
      </c>
      <c r="D71">
        <f>Data!AP71</f>
        <v>0</v>
      </c>
      <c r="E71">
        <f>Data!AQ71</f>
        <v>0</v>
      </c>
      <c r="F71">
        <f>Data!AR71</f>
        <v>0</v>
      </c>
    </row>
    <row r="72" spans="1:6">
      <c r="A72">
        <f>Data!A72</f>
        <v>0</v>
      </c>
      <c r="B72">
        <f>Data!AN72</f>
        <v>0</v>
      </c>
      <c r="C72">
        <f>Data!AO72</f>
        <v>0</v>
      </c>
      <c r="D72">
        <f>Data!AP72</f>
        <v>0</v>
      </c>
      <c r="E72">
        <f>Data!AQ72</f>
        <v>0</v>
      </c>
      <c r="F72">
        <f>Data!AR72</f>
        <v>0</v>
      </c>
    </row>
    <row r="73" spans="1:6">
      <c r="A73">
        <f>Data!A73</f>
        <v>0</v>
      </c>
      <c r="B73">
        <f>Data!AN73</f>
        <v>0</v>
      </c>
      <c r="C73">
        <f>Data!AO73</f>
        <v>0</v>
      </c>
      <c r="D73">
        <f>Data!AP73</f>
        <v>0</v>
      </c>
      <c r="E73">
        <f>Data!AQ73</f>
        <v>0</v>
      </c>
      <c r="F73">
        <f>Data!AR73</f>
        <v>0</v>
      </c>
    </row>
    <row r="74" spans="1:6">
      <c r="A74">
        <f>Data!A74</f>
        <v>0</v>
      </c>
      <c r="B74">
        <f>Data!AN74</f>
        <v>0</v>
      </c>
      <c r="C74">
        <f>Data!AO74</f>
        <v>0</v>
      </c>
      <c r="D74">
        <f>Data!AP74</f>
        <v>0</v>
      </c>
      <c r="E74">
        <f>Data!AQ74</f>
        <v>0</v>
      </c>
      <c r="F74">
        <f>Data!AR74</f>
        <v>0</v>
      </c>
    </row>
    <row r="75" spans="1:6">
      <c r="A75">
        <f>Data!A75</f>
        <v>0</v>
      </c>
      <c r="B75">
        <f>Data!AN75</f>
        <v>0</v>
      </c>
      <c r="C75">
        <f>Data!AO75</f>
        <v>0</v>
      </c>
      <c r="D75">
        <f>Data!AP75</f>
        <v>0</v>
      </c>
      <c r="E75">
        <f>Data!AQ75</f>
        <v>0</v>
      </c>
      <c r="F75">
        <f>Data!AR75</f>
        <v>0</v>
      </c>
    </row>
    <row r="76" spans="1:6">
      <c r="A76">
        <f>Data!A76</f>
        <v>0</v>
      </c>
      <c r="B76">
        <f>Data!AN76</f>
        <v>0</v>
      </c>
      <c r="C76">
        <f>Data!AO76</f>
        <v>0</v>
      </c>
      <c r="D76">
        <f>Data!AP76</f>
        <v>0</v>
      </c>
      <c r="E76">
        <f>Data!AQ76</f>
        <v>0</v>
      </c>
      <c r="F76">
        <f>Data!AR76</f>
        <v>0</v>
      </c>
    </row>
    <row r="77" spans="1:6">
      <c r="A77">
        <f>Data!A77</f>
        <v>0</v>
      </c>
      <c r="B77">
        <f>Data!AN77</f>
        <v>0</v>
      </c>
      <c r="C77">
        <f>Data!AO77</f>
        <v>0</v>
      </c>
      <c r="D77">
        <f>Data!AP77</f>
        <v>0</v>
      </c>
      <c r="E77">
        <f>Data!AQ77</f>
        <v>0</v>
      </c>
      <c r="F77">
        <f>Data!AR77</f>
        <v>0</v>
      </c>
    </row>
    <row r="78" spans="1:6">
      <c r="A78">
        <f>Data!A78</f>
        <v>0</v>
      </c>
      <c r="B78">
        <f>Data!AN78</f>
        <v>0</v>
      </c>
      <c r="C78">
        <f>Data!AO78</f>
        <v>0</v>
      </c>
      <c r="D78">
        <f>Data!AP78</f>
        <v>0</v>
      </c>
      <c r="E78">
        <f>Data!AQ78</f>
        <v>0</v>
      </c>
      <c r="F78">
        <f>Data!AR78</f>
        <v>0</v>
      </c>
    </row>
    <row r="79" spans="1:6">
      <c r="A79">
        <f>Data!A79</f>
        <v>0</v>
      </c>
      <c r="B79">
        <f>Data!AN79</f>
        <v>0</v>
      </c>
      <c r="C79">
        <f>Data!AO79</f>
        <v>0</v>
      </c>
      <c r="D79">
        <f>Data!AP79</f>
        <v>0</v>
      </c>
      <c r="E79">
        <f>Data!AQ79</f>
        <v>0</v>
      </c>
      <c r="F79">
        <f>Data!AR79</f>
        <v>0</v>
      </c>
    </row>
    <row r="80" spans="1:6">
      <c r="A80">
        <f>Data!A80</f>
        <v>0</v>
      </c>
      <c r="B80">
        <f>Data!AN80</f>
        <v>0</v>
      </c>
      <c r="C80">
        <f>Data!AO80</f>
        <v>0</v>
      </c>
      <c r="D80">
        <f>Data!AP80</f>
        <v>0</v>
      </c>
      <c r="E80">
        <f>Data!AQ80</f>
        <v>0</v>
      </c>
      <c r="F80">
        <f>Data!AR80</f>
        <v>0</v>
      </c>
    </row>
    <row r="81" spans="1:6">
      <c r="A81">
        <f>Data!A81</f>
        <v>0</v>
      </c>
      <c r="B81">
        <f>Data!AN81</f>
        <v>0</v>
      </c>
      <c r="C81">
        <f>Data!AO81</f>
        <v>0</v>
      </c>
      <c r="D81">
        <f>Data!AP81</f>
        <v>0</v>
      </c>
      <c r="E81">
        <f>Data!AQ81</f>
        <v>0</v>
      </c>
      <c r="F81">
        <f>Data!AR81</f>
        <v>0</v>
      </c>
    </row>
    <row r="82" spans="1:6">
      <c r="A82">
        <f>Data!A82</f>
        <v>0</v>
      </c>
      <c r="B82">
        <f>Data!AN82</f>
        <v>0</v>
      </c>
      <c r="C82">
        <f>Data!AO82</f>
        <v>0</v>
      </c>
      <c r="D82">
        <f>Data!AP82</f>
        <v>0</v>
      </c>
      <c r="E82">
        <f>Data!AQ82</f>
        <v>0</v>
      </c>
      <c r="F82">
        <f>Data!AR82</f>
        <v>0</v>
      </c>
    </row>
    <row r="83" spans="1:6">
      <c r="A83">
        <f>Data!A83</f>
        <v>0</v>
      </c>
      <c r="B83">
        <f>Data!AN83</f>
        <v>0</v>
      </c>
      <c r="C83">
        <f>Data!AO83</f>
        <v>0</v>
      </c>
      <c r="D83">
        <f>Data!AP83</f>
        <v>0</v>
      </c>
      <c r="E83">
        <f>Data!AQ83</f>
        <v>0</v>
      </c>
      <c r="F83">
        <f>Data!AR83</f>
        <v>0</v>
      </c>
    </row>
    <row r="84" spans="1:6">
      <c r="A84">
        <f>Data!A84</f>
        <v>0</v>
      </c>
      <c r="B84">
        <f>Data!AN84</f>
        <v>0</v>
      </c>
      <c r="C84">
        <f>Data!AO84</f>
        <v>0</v>
      </c>
      <c r="D84">
        <f>Data!AP84</f>
        <v>0</v>
      </c>
      <c r="E84">
        <f>Data!AQ84</f>
        <v>0</v>
      </c>
      <c r="F84">
        <f>Data!AR84</f>
        <v>0</v>
      </c>
    </row>
    <row r="85" spans="1:6">
      <c r="A85">
        <f>Data!A85</f>
        <v>0</v>
      </c>
      <c r="B85">
        <f>Data!AN85</f>
        <v>0</v>
      </c>
      <c r="C85">
        <f>Data!AO85</f>
        <v>0</v>
      </c>
      <c r="D85">
        <f>Data!AP85</f>
        <v>0</v>
      </c>
      <c r="E85">
        <f>Data!AQ85</f>
        <v>0</v>
      </c>
      <c r="F85">
        <f>Data!AR85</f>
        <v>0</v>
      </c>
    </row>
    <row r="86" spans="1:6">
      <c r="A86">
        <f>Data!A86</f>
        <v>0</v>
      </c>
      <c r="B86">
        <f>Data!AN86</f>
        <v>0</v>
      </c>
      <c r="C86">
        <f>Data!AO86</f>
        <v>0</v>
      </c>
      <c r="D86">
        <f>Data!AP86</f>
        <v>0</v>
      </c>
      <c r="E86">
        <f>Data!AQ86</f>
        <v>0</v>
      </c>
      <c r="F86">
        <f>Data!AR86</f>
        <v>0</v>
      </c>
    </row>
    <row r="87" spans="1:6">
      <c r="A87">
        <f>Data!A87</f>
        <v>0</v>
      </c>
      <c r="B87">
        <f>Data!AN87</f>
        <v>0</v>
      </c>
      <c r="C87">
        <f>Data!AO87</f>
        <v>0</v>
      </c>
      <c r="D87">
        <f>Data!AP87</f>
        <v>0</v>
      </c>
      <c r="E87">
        <f>Data!AQ87</f>
        <v>0</v>
      </c>
      <c r="F87">
        <f>Data!AR87</f>
        <v>0</v>
      </c>
    </row>
    <row r="88" spans="1:6">
      <c r="A88">
        <f>Data!A88</f>
        <v>0</v>
      </c>
      <c r="B88">
        <f>Data!AN88</f>
        <v>0</v>
      </c>
      <c r="C88">
        <f>Data!AO88</f>
        <v>0</v>
      </c>
      <c r="D88">
        <f>Data!AP88</f>
        <v>0</v>
      </c>
      <c r="E88">
        <f>Data!AQ88</f>
        <v>0</v>
      </c>
      <c r="F88">
        <f>Data!AR88</f>
        <v>0</v>
      </c>
    </row>
    <row r="89" spans="1:6">
      <c r="A89">
        <f>Data!A89</f>
        <v>0</v>
      </c>
      <c r="B89">
        <f>Data!AN89</f>
        <v>0</v>
      </c>
      <c r="C89">
        <f>Data!AO89</f>
        <v>0</v>
      </c>
      <c r="D89">
        <f>Data!AP89</f>
        <v>0</v>
      </c>
      <c r="E89">
        <f>Data!AQ89</f>
        <v>0</v>
      </c>
      <c r="F89">
        <f>Data!AR89</f>
        <v>0</v>
      </c>
    </row>
    <row r="90" spans="1:6">
      <c r="A90">
        <f>Data!A90</f>
        <v>0</v>
      </c>
      <c r="B90">
        <f>Data!AN90</f>
        <v>0</v>
      </c>
      <c r="C90">
        <f>Data!AO90</f>
        <v>0</v>
      </c>
      <c r="D90">
        <f>Data!AP90</f>
        <v>0</v>
      </c>
      <c r="E90">
        <f>Data!AQ90</f>
        <v>0</v>
      </c>
      <c r="F90">
        <f>Data!AR90</f>
        <v>0</v>
      </c>
    </row>
    <row r="91" spans="1:6">
      <c r="A91">
        <f>Data!A91</f>
        <v>0</v>
      </c>
      <c r="B91">
        <f>Data!AN91</f>
        <v>0</v>
      </c>
      <c r="C91">
        <f>Data!AO91</f>
        <v>0</v>
      </c>
      <c r="D91">
        <f>Data!AP91</f>
        <v>0</v>
      </c>
      <c r="E91">
        <f>Data!AQ91</f>
        <v>0</v>
      </c>
      <c r="F91">
        <f>Data!AR91</f>
        <v>0</v>
      </c>
    </row>
    <row r="92" spans="1:6">
      <c r="A92">
        <f>Data!A92</f>
        <v>0</v>
      </c>
      <c r="B92">
        <f>Data!AN92</f>
        <v>0</v>
      </c>
      <c r="C92">
        <f>Data!AO92</f>
        <v>0</v>
      </c>
      <c r="D92">
        <f>Data!AP92</f>
        <v>0</v>
      </c>
      <c r="E92">
        <f>Data!AQ92</f>
        <v>0</v>
      </c>
      <c r="F92">
        <f>Data!AR92</f>
        <v>0</v>
      </c>
    </row>
    <row r="93" spans="1:6">
      <c r="A93">
        <f>Data!A93</f>
        <v>0</v>
      </c>
      <c r="B93">
        <f>Data!AN93</f>
        <v>0</v>
      </c>
      <c r="C93">
        <f>Data!AO93</f>
        <v>0</v>
      </c>
      <c r="D93">
        <f>Data!AP93</f>
        <v>0</v>
      </c>
      <c r="E93">
        <f>Data!AQ93</f>
        <v>0</v>
      </c>
      <c r="F93">
        <f>Data!AR93</f>
        <v>0</v>
      </c>
    </row>
    <row r="94" spans="1:6">
      <c r="A94">
        <f>Data!A94</f>
        <v>0</v>
      </c>
      <c r="B94">
        <f>Data!AN94</f>
        <v>0</v>
      </c>
      <c r="C94">
        <f>Data!AO94</f>
        <v>0</v>
      </c>
      <c r="D94">
        <f>Data!AP94</f>
        <v>0</v>
      </c>
      <c r="E94">
        <f>Data!AQ94</f>
        <v>0</v>
      </c>
      <c r="F94">
        <f>Data!AR94</f>
        <v>0</v>
      </c>
    </row>
    <row r="95" spans="1:6">
      <c r="A95">
        <f>Data!A95</f>
        <v>0</v>
      </c>
      <c r="B95">
        <f>Data!AN95</f>
        <v>0</v>
      </c>
      <c r="C95">
        <f>Data!AO95</f>
        <v>0</v>
      </c>
      <c r="D95">
        <f>Data!AP95</f>
        <v>0</v>
      </c>
      <c r="E95">
        <f>Data!AQ95</f>
        <v>0</v>
      </c>
      <c r="F95">
        <f>Data!AR95</f>
        <v>0</v>
      </c>
    </row>
    <row r="96" spans="1:6">
      <c r="A96">
        <f>Data!A96</f>
        <v>0</v>
      </c>
      <c r="B96">
        <f>Data!AN96</f>
        <v>0</v>
      </c>
      <c r="C96">
        <f>Data!AO96</f>
        <v>0</v>
      </c>
      <c r="D96">
        <f>Data!AP96</f>
        <v>0</v>
      </c>
      <c r="E96">
        <f>Data!AQ96</f>
        <v>0</v>
      </c>
      <c r="F96">
        <f>Data!AR96</f>
        <v>0</v>
      </c>
    </row>
    <row r="97" spans="1:6">
      <c r="A97">
        <f>Data!A97</f>
        <v>0</v>
      </c>
      <c r="B97">
        <f>Data!AN97</f>
        <v>0</v>
      </c>
      <c r="C97">
        <f>Data!AO97</f>
        <v>0</v>
      </c>
      <c r="D97">
        <f>Data!AP97</f>
        <v>0</v>
      </c>
      <c r="E97">
        <f>Data!AQ97</f>
        <v>0</v>
      </c>
      <c r="F97">
        <f>Data!AR97</f>
        <v>0</v>
      </c>
    </row>
    <row r="98" spans="1:6">
      <c r="A98">
        <f>Data!A98</f>
        <v>0</v>
      </c>
      <c r="B98">
        <f>Data!AN98</f>
        <v>0</v>
      </c>
      <c r="C98">
        <f>Data!AO98</f>
        <v>0</v>
      </c>
      <c r="D98">
        <f>Data!AP98</f>
        <v>0</v>
      </c>
      <c r="E98">
        <f>Data!AQ98</f>
        <v>0</v>
      </c>
      <c r="F98">
        <f>Data!AR98</f>
        <v>0</v>
      </c>
    </row>
    <row r="99" spans="1:6">
      <c r="A99">
        <f>Data!A99</f>
        <v>0</v>
      </c>
      <c r="B99">
        <f>Data!AN99</f>
        <v>0</v>
      </c>
      <c r="C99">
        <f>Data!AO99</f>
        <v>0</v>
      </c>
      <c r="D99">
        <f>Data!AP99</f>
        <v>0</v>
      </c>
      <c r="E99">
        <f>Data!AQ99</f>
        <v>0</v>
      </c>
      <c r="F99">
        <f>Data!AR99</f>
        <v>0</v>
      </c>
    </row>
    <row r="100" spans="1:6">
      <c r="A100">
        <f>Data!A100</f>
        <v>0</v>
      </c>
      <c r="B100">
        <f>Data!AN100</f>
        <v>0</v>
      </c>
      <c r="C100">
        <f>Data!AO100</f>
        <v>0</v>
      </c>
      <c r="D100">
        <f>Data!AP100</f>
        <v>0</v>
      </c>
      <c r="E100">
        <f>Data!AQ100</f>
        <v>0</v>
      </c>
      <c r="F100">
        <f>Data!AR100</f>
        <v>0</v>
      </c>
    </row>
    <row r="101" spans="1:6">
      <c r="A101">
        <f>Data!A101</f>
        <v>0</v>
      </c>
      <c r="B101">
        <f>Data!AN101</f>
        <v>0</v>
      </c>
      <c r="C101">
        <f>Data!AO101</f>
        <v>0</v>
      </c>
      <c r="D101">
        <f>Data!AP101</f>
        <v>0</v>
      </c>
      <c r="E101">
        <f>Data!AQ101</f>
        <v>0</v>
      </c>
      <c r="F101">
        <f>Data!AR101</f>
        <v>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Composition!B101:F101</xm:f>
              <xm:sqref>G101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Composition!B100:F100</xm:f>
              <xm:sqref>G100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Composition!B99:F99</xm:f>
              <xm:sqref>G99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Composition!B98:F98</xm:f>
              <xm:sqref>G98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Composition!B97:F97</xm:f>
              <xm:sqref>G97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Composition!B96:F96</xm:f>
              <xm:sqref>G96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Composition!B95:F95</xm:f>
              <xm:sqref>G95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Composition!B94:F94</xm:f>
              <xm:sqref>G94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Composition!B93:F93</xm:f>
              <xm:sqref>G93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Composition!B92:F92</xm:f>
              <xm:sqref>G92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Composition!B91:F91</xm:f>
              <xm:sqref>G91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Composition!B90:F90</xm:f>
              <xm:sqref>G90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Composition!B89:F89</xm:f>
              <xm:sqref>G89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Composition!B88:F88</xm:f>
              <xm:sqref>G88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Composition!B87:F87</xm:f>
              <xm:sqref>G87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Composition!B86:F86</xm:f>
              <xm:sqref>G86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Composition!B85:F85</xm:f>
              <xm:sqref>G85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Composition!B84:F84</xm:f>
              <xm:sqref>G84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Composition!B83:F83</xm:f>
              <xm:sqref>G83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Composition!B82:F82</xm:f>
              <xm:sqref>G82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Composition!B81:F81</xm:f>
              <xm:sqref>G81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Composition!B80:F80</xm:f>
              <xm:sqref>G80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Composition!B79:F79</xm:f>
              <xm:sqref>G79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Composition!B78:F78</xm:f>
              <xm:sqref>G78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Composition!B77:F77</xm:f>
              <xm:sqref>G77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Composition!B76:F76</xm:f>
              <xm:sqref>G76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Composition!B75:F75</xm:f>
              <xm:sqref>G75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Composition!B74:F74</xm:f>
              <xm:sqref>G74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Composition!B73:F73</xm:f>
              <xm:sqref>G73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Composition!B72:F72</xm:f>
              <xm:sqref>G72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Composition!B71:F71</xm:f>
              <xm:sqref>G71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Composition!B70:F70</xm:f>
              <xm:sqref>G70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Composition!B69:F69</xm:f>
              <xm:sqref>G69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Composition!B68:F68</xm:f>
              <xm:sqref>G68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Composition!B67:F67</xm:f>
              <xm:sqref>G67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Composition!B66:F66</xm:f>
              <xm:sqref>G66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Composition!B65:F65</xm:f>
              <xm:sqref>G65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Composition!B64:F64</xm:f>
              <xm:sqref>G64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Composition!B63:F63</xm:f>
              <xm:sqref>G63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Composition!B62:F62</xm:f>
              <xm:sqref>G62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Composition!B61:F61</xm:f>
              <xm:sqref>G61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Composition!B60:F60</xm:f>
              <xm:sqref>G60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Composition!B59:F59</xm:f>
              <xm:sqref>G59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Composition!B58:F58</xm:f>
              <xm:sqref>G58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Composition!B57:F57</xm:f>
              <xm:sqref>G57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Composition!B56:F56</xm:f>
              <xm:sqref>G56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Composition!B55:F55</xm:f>
              <xm:sqref>G55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Composition!B54:F54</xm:f>
              <xm:sqref>G54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Composition!B53:F53</xm:f>
              <xm:sqref>G53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Composition!B52:F52</xm:f>
              <xm:sqref>G52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Composition!B51:F51</xm:f>
              <xm:sqref>G51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Composition!B50:F50</xm:f>
              <xm:sqref>G50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Composition!B49:F49</xm:f>
              <xm:sqref>G49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Composition!B48:F48</xm:f>
              <xm:sqref>G48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Composition!B47:F47</xm:f>
              <xm:sqref>G47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Composition!B46:F46</xm:f>
              <xm:sqref>G46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Composition!B45:F45</xm:f>
              <xm:sqref>G45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Composition!B44:F44</xm:f>
              <xm:sqref>G44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Composition!B43:F43</xm:f>
              <xm:sqref>G43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Composition!B42:F42</xm:f>
              <xm:sqref>G42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Composition!B41:F41</xm:f>
              <xm:sqref>G41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Composition!B40:F40</xm:f>
              <xm:sqref>G40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Composition!B39:F39</xm:f>
              <xm:sqref>G39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Composition!B38:F38</xm:f>
              <xm:sqref>G38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Composition!B37:F37</xm:f>
              <xm:sqref>G37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Composition!B36:F36</xm:f>
              <xm:sqref>G36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Composition!B35:F35</xm:f>
              <xm:sqref>G35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Composition!B34:F34</xm:f>
              <xm:sqref>G34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Composition!B33:F33</xm:f>
              <xm:sqref>G33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Composition!B32:F32</xm:f>
              <xm:sqref>G32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Composition!B31:F31</xm:f>
              <xm:sqref>G31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Composition!B30:F30</xm:f>
              <xm:sqref>G30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Composition!B29:F29</xm:f>
              <xm:sqref>G29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Composition!B28:F28</xm:f>
              <xm:sqref>G28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Composition!B27:F27</xm:f>
              <xm:sqref>G27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Composition!B26:F26</xm:f>
              <xm:sqref>G26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Composition!B25:F25</xm:f>
              <xm:sqref>G25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Composition!B24:F24</xm:f>
              <xm:sqref>G24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Composition!B23:F23</xm:f>
              <xm:sqref>G23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Composition!B22:F22</xm:f>
              <xm:sqref>G22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Composition!B21:F21</xm:f>
              <xm:sqref>G21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Composition!B20:F20</xm:f>
              <xm:sqref>G20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Composition!B19:F19</xm:f>
              <xm:sqref>G19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Composition!B18:F18</xm:f>
              <xm:sqref>G18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Composition!B17:F17</xm:f>
              <xm:sqref>G17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Composition!B16:F16</xm:f>
              <xm:sqref>G16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Composition!B15:F15</xm:f>
              <xm:sqref>G15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Composition!B14:F14</xm:f>
              <xm:sqref>G14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Composition!B13:F13</xm:f>
              <xm:sqref>G13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Composition!B12:F12</xm:f>
              <xm:sqref>G12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Composition!B11:F11</xm:f>
              <xm:sqref>G11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Composition!B10:F10</xm:f>
              <xm:sqref>G10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Composition!B9:F9</xm:f>
              <xm:sqref>G9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Composition!B8:F8</xm:f>
              <xm:sqref>G8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Composition!B7:F7</xm:f>
              <xm:sqref>G7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Composition!B6:F6</xm:f>
              <xm:sqref>G6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Composition!B5:F5</xm:f>
              <xm:sqref>G5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Composition!B4:F4</xm:f>
              <xm:sqref>G4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Composition!B3:F3</xm:f>
              <xm:sqref>G3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Composition!B2:F2</xm:f>
              <xm:sqref>G2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Lists</vt:lpstr>
      <vt:lpstr>PointsMap</vt:lpstr>
      <vt:lpstr>Weights</vt:lpstr>
      <vt:lpstr>Presets</vt:lpstr>
      <vt:lpstr>Summary</vt:lpstr>
      <vt:lpstr>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2025-11-06T05:32:29Z</dcterms:created>
  <dcterms:modified xsi:type="dcterms:W3CDTF">2025-11-06T05:32:29Z</dcterms:modified>
</cp:coreProperties>
</file>